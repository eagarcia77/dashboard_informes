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rsg-my.sharepoint.com/personal/graciela_tesan_intersg_edu/Documents/0 UCAN/UCAN Strategy 3 Curri Develop and PD/6013 Cursos Creados en Línea/"/>
    </mc:Choice>
  </mc:AlternateContent>
  <xr:revisionPtr revIDLastSave="0" documentId="8_{7040B172-BBD5-4F4A-8E2A-443F81B9A831}" xr6:coauthVersionLast="47" xr6:coauthVersionMax="47" xr10:uidLastSave="{00000000-0000-0000-0000-000000000000}"/>
  <bookViews>
    <workbookView xWindow="-120" yWindow="-120" windowWidth="29040" windowHeight="15720" firstSheet="1" activeTab="1" xr2:uid="{EAB7E134-6D2F-4EF1-B19E-37C9570C1AE2}"/>
  </bookViews>
  <sheets>
    <sheet name="draft" sheetId="4" r:id="rId1"/>
    <sheet name="Year 3" sheetId="5" r:id="rId2"/>
    <sheet name="Faltan Year 3" sheetId="6" r:id="rId3"/>
    <sheet name="Year 2" sheetId="1" r:id="rId4"/>
    <sheet name="Year 1" sheetId="3" r:id="rId5"/>
  </sheets>
  <definedNames>
    <definedName name="_xlnm.Print_Area" localSheetId="4">'Year 1'!$A$1:$G$10</definedName>
    <definedName name="_xlnm.Print_Area" localSheetId="3">'Year 2'!$B$1:$H$38</definedName>
    <definedName name="_xlnm.Print_Area" localSheetId="1">'Year 3'!$B$1:$I$128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0" i="5" l="1"/>
  <c r="K107" i="5" l="1"/>
  <c r="I134" i="5" l="1"/>
  <c r="I133" i="5"/>
  <c r="I132" i="5"/>
  <c r="J143" i="5"/>
  <c r="I143" i="5"/>
  <c r="I142" i="5"/>
  <c r="I141" i="5"/>
  <c r="I140" i="5"/>
  <c r="I139" i="5"/>
  <c r="I138" i="5"/>
  <c r="I137" i="5"/>
  <c r="I136" i="5"/>
  <c r="I135" i="5"/>
  <c r="I131" i="5"/>
  <c r="I130" i="5"/>
  <c r="I145" i="5"/>
  <c r="G56" i="5"/>
  <c r="G57" i="5"/>
  <c r="G58" i="5"/>
  <c r="G59" i="5"/>
  <c r="G60" i="5"/>
  <c r="G61" i="5"/>
  <c r="G62" i="5"/>
  <c r="G103" i="5" l="1"/>
  <c r="G106" i="5"/>
  <c r="G105" i="5"/>
  <c r="G104" i="5"/>
  <c r="G102" i="5"/>
  <c r="G101" i="5"/>
  <c r="G100" i="5"/>
  <c r="G99" i="5"/>
  <c r="J142" i="5" l="1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98" i="5" l="1"/>
  <c r="G97" i="5"/>
  <c r="J141" i="5" s="1"/>
  <c r="G88" i="5"/>
  <c r="G89" i="5"/>
  <c r="G90" i="5"/>
  <c r="G91" i="5"/>
  <c r="G92" i="5"/>
  <c r="G93" i="5"/>
  <c r="G94" i="5"/>
  <c r="G95" i="5"/>
  <c r="G96" i="5"/>
  <c r="J140" i="5" l="1"/>
  <c r="G72" i="5"/>
  <c r="G71" i="5"/>
  <c r="G70" i="5"/>
  <c r="G69" i="5"/>
  <c r="J139" i="5" s="1"/>
  <c r="G68" i="5"/>
  <c r="G67" i="5"/>
  <c r="J138" i="5" s="1"/>
  <c r="G66" i="5" l="1"/>
  <c r="G65" i="5"/>
  <c r="G64" i="5"/>
  <c r="J137" i="5" s="1"/>
  <c r="J27" i="5"/>
  <c r="G54" i="5"/>
  <c r="G53" i="5"/>
  <c r="J136" i="5" s="1"/>
  <c r="G52" i="5" l="1"/>
  <c r="J134" i="5" s="1"/>
  <c r="G36" i="5"/>
  <c r="G37" i="5"/>
  <c r="G38" i="5"/>
  <c r="G39" i="5"/>
  <c r="G40" i="5"/>
  <c r="G42" i="5"/>
  <c r="G43" i="5"/>
  <c r="J132" i="5" s="1"/>
  <c r="G44" i="5"/>
  <c r="J131" i="5" s="1"/>
  <c r="G45" i="5"/>
  <c r="G46" i="5"/>
  <c r="G47" i="5"/>
  <c r="G48" i="5"/>
  <c r="G49" i="5"/>
  <c r="G50" i="5"/>
  <c r="J133" i="5" l="1"/>
  <c r="G108" i="5"/>
  <c r="J135" i="5"/>
  <c r="J130" i="5"/>
  <c r="E109" i="5"/>
  <c r="G29" i="5"/>
  <c r="G30" i="5" s="1"/>
  <c r="J145" i="5" l="1"/>
  <c r="F111" i="5"/>
  <c r="H127" i="5"/>
  <c r="I27" i="1"/>
  <c r="F29" i="1"/>
  <c r="F37" i="1"/>
  <c r="D38" i="1"/>
</calcChain>
</file>

<file path=xl/sharedStrings.xml><?xml version="1.0" encoding="utf-8"?>
<sst xmlns="http://schemas.openxmlformats.org/spreadsheetml/2006/main" count="474" uniqueCount="242">
  <si>
    <t>Recurso</t>
  </si>
  <si>
    <t>Curso</t>
  </si>
  <si>
    <t>Estatus</t>
  </si>
  <si>
    <t>Objeto de Gasto</t>
  </si>
  <si>
    <t>Total Comprometido</t>
  </si>
  <si>
    <t>Mary L. Martínez Aldebol</t>
  </si>
  <si>
    <t>EDUC 697_</t>
  </si>
  <si>
    <t>New / Solo he recibido propuesta</t>
  </si>
  <si>
    <t>Carlos Martínez Bonilla</t>
  </si>
  <si>
    <t>MATH 5400</t>
  </si>
  <si>
    <r>
      <rPr>
        <sz val="11"/>
        <color rgb="FF0000FF"/>
        <rFont val="Calibri"/>
        <scheme val="minor"/>
      </rPr>
      <t xml:space="preserve">New / Solo he recibido propuesta
</t>
    </r>
    <r>
      <rPr>
        <sz val="11"/>
        <color rgb="FF000000"/>
        <rFont val="Calibri"/>
        <scheme val="minor"/>
      </rPr>
      <t>El recurso se reunión con la Directora de Proyecto para alinear el desarrollo del curso con los objetivos del proyecto UCAN</t>
    </r>
  </si>
  <si>
    <t>Inter American University of Puerto Rico, Inc.</t>
  </si>
  <si>
    <t>valor crédito recurso con Dr</t>
  </si>
  <si>
    <t>San Germán Campus</t>
  </si>
  <si>
    <t>valor crédito recurso con MA</t>
  </si>
  <si>
    <t>University Center for Advancing &amp; Nurturing Postgraduate Quality (UCAN)</t>
  </si>
  <si>
    <t>#6013</t>
  </si>
  <si>
    <t>Title V PPOHA #P031M230038</t>
  </si>
  <si>
    <t>Propuesta PAGADA en Compromiso Año3 (Octubre 2025-Septiembre 2026)</t>
  </si>
  <si>
    <t>CR</t>
  </si>
  <si>
    <t>F. Certificación</t>
  </si>
  <si>
    <t>F. Completado</t>
  </si>
  <si>
    <t>Dr. Walter Irizarry</t>
  </si>
  <si>
    <t>PSYC 7020 Neuropsicología</t>
  </si>
  <si>
    <t>Certificado/se envió formulario al Decanato</t>
  </si>
  <si>
    <t>Caroline Ayala</t>
  </si>
  <si>
    <t>ENTR 8130 Estrategias de Liderazgo para Emprendedores</t>
  </si>
  <si>
    <t>Certificado/esperando documentación</t>
  </si>
  <si>
    <t>ENTR 797C Temas especiales en creatividad, innovación y emprendimiento</t>
  </si>
  <si>
    <r>
      <t xml:space="preserve">Propuesta Aprobadas por Decanato de Asuntos Académicos para consideración de pago bajo UCAN Año 3 / </t>
    </r>
    <r>
      <rPr>
        <b/>
        <i/>
        <sz val="11"/>
        <color theme="1"/>
        <rFont val="Calibri"/>
        <family val="2"/>
        <scheme val="minor"/>
      </rPr>
      <t>Cursos creados</t>
    </r>
  </si>
  <si>
    <t>TOTAL DE GASTOS INCURRIDOS EN EL DESARROLO DE CURSOS COMPROMETIDOS Y APROBADOS HASTA AGOSTO 2026</t>
  </si>
  <si>
    <t>Balance</t>
  </si>
  <si>
    <t>CURSOS APROBADOS Y EN DESARROLLO (PARA PONER EN COMPROMISO)</t>
  </si>
  <si>
    <t>Programa</t>
  </si>
  <si>
    <t>Formulario UCAN firmado</t>
  </si>
  <si>
    <t>Enviado a CITEL</t>
  </si>
  <si>
    <r>
      <rPr>
        <sz val="11"/>
        <color rgb="FF0000FF"/>
        <rFont val="Calibri"/>
        <scheme val="minor"/>
      </rPr>
      <t xml:space="preserve">New / Solo he recibido propuesta
</t>
    </r>
    <r>
      <rPr>
        <sz val="11"/>
        <color rgb="FF000000"/>
        <rFont val="Calibri"/>
        <scheme val="minor"/>
      </rPr>
      <t>El recurso se reunió con la Directora de Proyecto para alinear el desarrollo del curso con los objetivos del proyecto UCAN</t>
    </r>
  </si>
  <si>
    <t>Matemáticas Aplicadas (MA)</t>
  </si>
  <si>
    <t>PsyD en Psicología Clínica y Consejería Psicológica/Escolar</t>
  </si>
  <si>
    <t xml:space="preserve">PSYC 7030 Investigación Cuantitativa </t>
  </si>
  <si>
    <t>Propuesta están por someterse a CITEL</t>
  </si>
  <si>
    <t>Firmada por el profesora</t>
  </si>
  <si>
    <t>Ok</t>
  </si>
  <si>
    <t xml:space="preserve">PSYC 7040 Investigación Cualitativa </t>
  </si>
  <si>
    <t xml:space="preserve">PSYC 7045 Análisis de Datos Cualitativos </t>
  </si>
  <si>
    <t xml:space="preserve">PSYC 5220 Métodos de Investigación </t>
  </si>
  <si>
    <t>MA Psicología</t>
  </si>
  <si>
    <t xml:space="preserve">PSYC 5040 Bases Biológicas de la Conducta </t>
  </si>
  <si>
    <t>Dra. Dalyzbeth Ortiz</t>
  </si>
  <si>
    <t xml:space="preserve">PSYC 7010 Diversidad Humana </t>
  </si>
  <si>
    <t>Dra. Osmary Olivencia</t>
  </si>
  <si>
    <t xml:space="preserve">PSYC 7005 Estándares Profesionales en Psicología Clínica/ Escolar </t>
  </si>
  <si>
    <t>PsyD en Psicología Clínica y Psicología Escolar</t>
  </si>
  <si>
    <t xml:space="preserve">PSYC 7015 Estándares Profesionales en Psicología Clínica/ Consejería Psicológica </t>
  </si>
  <si>
    <t>PsyD en Psicología Clínica y Consejería Psicológica</t>
  </si>
  <si>
    <t xml:space="preserve">PSYC 5060 Psicología de la Personalidad </t>
  </si>
  <si>
    <t>Dra. Celia González</t>
  </si>
  <si>
    <t xml:space="preserve">PSYC 5015 Historia y Sistemas de la psicología </t>
  </si>
  <si>
    <t xml:space="preserve">PSYC 7050 Diseño y Evaluación de Programas + PSYC 8912 Practicum </t>
  </si>
  <si>
    <t>Dr. Christian Marrero</t>
  </si>
  <si>
    <t xml:space="preserve">PSYC 5050 Desarrollo a través del ciclo de vida </t>
  </si>
  <si>
    <t>Propuesta están por someterse a CITEL/ No tienen BB certification</t>
  </si>
  <si>
    <t>Dr. Emanuel Montalvo</t>
  </si>
  <si>
    <t xml:space="preserve">PSYC 5286 + PSYC 5287 Consejería Psicológica y Evaluación de Carreras + Practicum </t>
  </si>
  <si>
    <t>MA Psicología Especialidad en Consejería Psicológica</t>
  </si>
  <si>
    <t xml:space="preserve">PSYC 6933 Práctica I: Desarrollo Personal y Profesional </t>
  </si>
  <si>
    <t xml:space="preserve">SEMI 6970 Seminario Integrador (requisito Institucional) </t>
  </si>
  <si>
    <t>Propuesta están por someterse a CITEL/ No tienen BB certification/ Tienen solo MA</t>
  </si>
  <si>
    <t>Prof. Ruth Arroyo</t>
  </si>
  <si>
    <t>PSYC 5296 + PSYC 5297 Consultoría, Colaboración y Organización Escolar + Practicum</t>
  </si>
  <si>
    <t>MA Psicología Especialidad en Psicología Escolar</t>
  </si>
  <si>
    <t>Dr. Carlos Irizarry Guzman</t>
  </si>
  <si>
    <t>ENTR 8110 Gestión del Éxito y del Fracaso Empresarial</t>
  </si>
  <si>
    <t>Se sometió propuesta a CITEL</t>
  </si>
  <si>
    <t>DBA ENTR - Emprendimiento</t>
  </si>
  <si>
    <t>ENTR 7030</t>
  </si>
  <si>
    <t>Se sometió propuesta a CITEL/ CURSO NO ESTÄ EN CATALOGO O EN DBA presencial. NO se puede considerar para pago.</t>
  </si>
  <si>
    <t>Firmada por la profesora</t>
  </si>
  <si>
    <t>Dr. José Montañez Orengo</t>
  </si>
  <si>
    <t>ENTR 797-A Temas especiales en idiomas</t>
  </si>
  <si>
    <t>ENTR 797-B Temas especiales en creatividad, innovación y emprendimiento</t>
  </si>
  <si>
    <t>Dr. Lester Torres Rivera</t>
  </si>
  <si>
    <t>ENTR 8120 Ecosistemas Empresariales</t>
  </si>
  <si>
    <t>ENTR 8990 Diseño de plan de negocio creativo</t>
  </si>
  <si>
    <t>Requisitos de especialidad que no tiene recurso</t>
  </si>
  <si>
    <t>ENTR 7000 Estrategias para la creatividad y la innovación empresarial</t>
  </si>
  <si>
    <t>ENTR 7010 Concienciación global para emprendedores</t>
  </si>
  <si>
    <t xml:space="preserve">Requisitos de especialidad que no tiene  recurso </t>
  </si>
  <si>
    <t>ENTR 7020 Estrategias de mercadeo y emprendimiento para pequeñas y medianas empresas</t>
  </si>
  <si>
    <t>Dra. Caroline Ayala Martínez</t>
  </si>
  <si>
    <t>Dra. Elba Irizarry Ramirez</t>
  </si>
  <si>
    <t>EDUC 7050 Estadísticas</t>
  </si>
  <si>
    <t>ED.d. EDUC - Educación</t>
  </si>
  <si>
    <t>Dr. Osvaldo Hernández Soto</t>
  </si>
  <si>
    <t>EDUC 7060 Investigación Cuantitativa</t>
  </si>
  <si>
    <t>EDUC 7070 Investigación Cualitativa</t>
  </si>
  <si>
    <t>Ángel Sánchez y Mari Olga Valentín</t>
  </si>
  <si>
    <t>EDUC 8500 Modelos, Teorías Normativas y Descriptivas en la Gerencia y Liderazgo Educativo</t>
  </si>
  <si>
    <t>ED.d. EDUC - Educación_Especialidad en Gerencia y Liderazgo Educativos</t>
  </si>
  <si>
    <t>EDUC 8530 Liderazgo en la Gerencia Educativa</t>
  </si>
  <si>
    <t>Dr. Christian Valentín Baez</t>
  </si>
  <si>
    <t xml:space="preserve">MUED 7101 Fundamentos y Perspectivas de la Educación Musical I </t>
  </si>
  <si>
    <t>DMA Educación Musical</t>
  </si>
  <si>
    <t xml:space="preserve">Dr. Andrés Mojica o Dr. Carlos Conde González </t>
  </si>
  <si>
    <t xml:space="preserve">MUSI 7010 Compositores y sus Obras Selectas </t>
  </si>
  <si>
    <t>Dra. Hertha Rodríguez Bisbal</t>
  </si>
  <si>
    <t xml:space="preserve">MUED 7210  Fundamentos Teóricos y Conceptuales de la Música   </t>
  </si>
  <si>
    <t xml:space="preserve">Dr. Luis Javier Flores </t>
  </si>
  <si>
    <t xml:space="preserve">MUED 7102 Fundamentos y Perspectivas de la Educación Musical II </t>
  </si>
  <si>
    <t>Dra. Brunilda Soto Gutiérrez</t>
  </si>
  <si>
    <t>MUED 7430 Aspectos Psicológicos y Sociales de la Música</t>
  </si>
  <si>
    <t>Dr. Waldo Sanabria y Prof. Luis Santaliz</t>
  </si>
  <si>
    <t xml:space="preserve">MUSI 7030 Análisis Musical Avanzado </t>
  </si>
  <si>
    <t>Dr. Luis Javier Flores</t>
  </si>
  <si>
    <r>
      <t>MUED 7321 Métodos de Investigación en la M</t>
    </r>
    <r>
      <rPr>
        <sz val="9"/>
        <color theme="1"/>
        <rFont val="Times New Roman"/>
        <family val="1"/>
      </rPr>
      <t xml:space="preserve">úsica I  </t>
    </r>
  </si>
  <si>
    <r>
      <t>MUED 7322 Métodos de Investigación en la M</t>
    </r>
    <r>
      <rPr>
        <sz val="9"/>
        <color theme="1"/>
        <rFont val="Times New Roman"/>
        <family val="1"/>
      </rPr>
      <t xml:space="preserve">úsica II  </t>
    </r>
  </si>
  <si>
    <t>Dr. Luis Ariel Carmona</t>
  </si>
  <si>
    <t xml:space="preserve">MUED 8020 Diseño de Cursos en Línea en Música </t>
  </si>
  <si>
    <t>MUED 8960 Seminario de investigación</t>
  </si>
  <si>
    <t>Dr. Carlos Conde González</t>
  </si>
  <si>
    <t xml:space="preserve">MUSI 7012 Ejecución Musical  </t>
  </si>
  <si>
    <t xml:space="preserve">MUSI 7500 Dirección Avanzada </t>
  </si>
  <si>
    <t>MUSI 8700 Composición y Arreglo Musical</t>
  </si>
  <si>
    <t>MUED 7015 Modelos de Enseñanza del Instrumento</t>
  </si>
  <si>
    <t>3  Dr. Christian Valentín Baez</t>
  </si>
  <si>
    <t>MUED 7440 Modelos Globales en la Educación Musical</t>
  </si>
  <si>
    <t>MUED 7540 Administración y Supervisión en la Música</t>
  </si>
  <si>
    <t>MUSI 7025 Conjunto de Cámara I</t>
  </si>
  <si>
    <t>MUSI 7026 Conjunto de Cámara II</t>
  </si>
  <si>
    <t>MUED 7650 Tecnologías Emergentes en la Educación Musical</t>
  </si>
  <si>
    <r>
      <rPr>
        <sz val="11"/>
        <color rgb="FF000000"/>
        <rFont val="Calibri"/>
        <scheme val="minor"/>
      </rPr>
      <t xml:space="preserve">1. ATTH-5010 Investigación en Ciencias del Ejercicio </t>
    </r>
    <r>
      <rPr>
        <b/>
        <sz val="11"/>
        <color rgb="FF000000"/>
        <rFont val="Calibri"/>
        <scheme val="minor"/>
      </rPr>
      <t>(HPER 5000 Bibliografía Selecta en Educación Física)</t>
    </r>
  </si>
  <si>
    <t>Especialidad en Educación Física (MA) Entrenamiento y Desempeño Deportivo</t>
  </si>
  <si>
    <r>
      <rPr>
        <sz val="11"/>
        <color rgb="FF000000"/>
        <rFont val="Calibri"/>
        <scheme val="minor"/>
      </rPr>
      <t>2. HPER Estadística y Tecnología Aplicada al Rendimiento Deportivo (</t>
    </r>
    <r>
      <rPr>
        <b/>
        <sz val="11"/>
        <color rgb="FF000000"/>
        <rFont val="Calibri"/>
        <scheme val="minor"/>
      </rPr>
      <t>HPER 5050 Evaluación, “Assessment” y Medición en la Educación Física</t>
    </r>
    <r>
      <rPr>
        <sz val="11"/>
        <color rgb="FF000000"/>
        <rFont val="Calibri"/>
        <scheme val="minor"/>
      </rPr>
      <t>)</t>
    </r>
  </si>
  <si>
    <t>3. HPER 6660 Biomecánica</t>
  </si>
  <si>
    <t>4. HPER 6110 Fisiología del deporte</t>
  </si>
  <si>
    <r>
      <rPr>
        <sz val="11"/>
        <color rgb="FF000000"/>
        <rFont val="Calibri"/>
        <scheme val="minor"/>
      </rPr>
      <t>5. ATTH-5040 Nutrición aplicada al atleta (</t>
    </r>
    <r>
      <rPr>
        <b/>
        <sz val="11"/>
        <color rgb="FF000000"/>
        <rFont val="Calibri"/>
        <scheme val="minor"/>
      </rPr>
      <t>HPER 6550 Salud, Nutrición y Bienestar Físico</t>
    </r>
    <r>
      <rPr>
        <sz val="11"/>
        <color rgb="FF000000"/>
        <rFont val="Calibri"/>
        <scheme val="minor"/>
      </rPr>
      <t>)</t>
    </r>
  </si>
  <si>
    <t>6. HPER 5300 Psicología Deportiva</t>
  </si>
  <si>
    <t>7. HPER 6100 Teoría y Metodología y Científica del Entrenamiento Deportivo</t>
  </si>
  <si>
    <r>
      <rPr>
        <sz val="11"/>
        <color rgb="FF000000"/>
        <rFont val="Calibri"/>
        <scheme val="minor"/>
      </rPr>
      <t>8. HPER Planificación y Periodización del Entrenamiento Deportivo Avanzado (</t>
    </r>
    <r>
      <rPr>
        <b/>
        <sz val="11"/>
        <color rgb="FF000000"/>
        <rFont val="Calibri"/>
        <scheme val="minor"/>
      </rPr>
      <t>HPER 6100 Teoría y Metodología y Científica del Entrenamiento Deportivo</t>
    </r>
    <r>
      <rPr>
        <sz val="11"/>
        <color rgb="FF000000"/>
        <rFont val="Calibri"/>
        <scheme val="minor"/>
      </rPr>
      <t>)</t>
    </r>
  </si>
  <si>
    <r>
      <rPr>
        <sz val="11"/>
        <color rgb="FF000000"/>
        <rFont val="Calibri"/>
        <scheme val="minor"/>
      </rPr>
      <t>10.HPER Práctica en Entrenamiento Deportiv (</t>
    </r>
    <r>
      <rPr>
        <b/>
        <sz val="11"/>
        <color rgb="FF000000"/>
        <rFont val="Calibri"/>
        <scheme val="minor"/>
      </rPr>
      <t>HPER 6910 Práctica</t>
    </r>
    <r>
      <rPr>
        <sz val="11"/>
        <color rgb="FF000000"/>
        <rFont val="Calibri"/>
        <scheme val="minor"/>
      </rPr>
      <t>)</t>
    </r>
  </si>
  <si>
    <t>Dr. Carl Lopez</t>
  </si>
  <si>
    <t>EVSC 5285 – Política Pública en la Reglamentación Ambiental de Puerto Rico</t>
  </si>
  <si>
    <t>Ciencias Ambientales (MS)</t>
  </si>
  <si>
    <t>Dr. Vera Serrano</t>
  </si>
  <si>
    <t xml:space="preserve">EVSC5275 Toxicología Ambiental </t>
  </si>
  <si>
    <t>ENGL 5220 Redacción Académica</t>
  </si>
  <si>
    <t>Inglés: Enseñanza del Inglés como Segundo Idioma (MA)</t>
  </si>
  <si>
    <t>ENGL 6170 Avalúo y Evaluación de Habilidades Lingüisticas</t>
  </si>
  <si>
    <t>ENGL 6530 Investigación en TESOL</t>
  </si>
  <si>
    <t>ENGL 5210 Literatura Dramática</t>
  </si>
  <si>
    <t>ENGL 5330 Adquisición y Aprendizaje de un Primer y un Segundo Idiomas</t>
  </si>
  <si>
    <t>ENGL 6180 Uso de la Tecnología en TESOL</t>
  </si>
  <si>
    <t>ENGL 6600 Supervisión en TESOL</t>
  </si>
  <si>
    <t>ENGL 6970 Seminario Integrador Capstone</t>
  </si>
  <si>
    <t>EDUC (Mildred)</t>
  </si>
  <si>
    <t>Comprometido</t>
  </si>
  <si>
    <t>Por Graciela Tesán</t>
  </si>
  <si>
    <t>No comprometidos</t>
  </si>
  <si>
    <t>Ciencias Ambientales</t>
  </si>
  <si>
    <t>Total</t>
  </si>
  <si>
    <t>Programa académico</t>
  </si>
  <si>
    <t>Cursos que ya aparecen en Year 3</t>
  </si>
  <si>
    <t>Cursos que faltan o requieren decisión</t>
  </si>
  <si>
    <t>Especialidad en Educación Física (MA) – Entrenamiento y Desempeño Deportivo</t>
  </si>
  <si>
    <t>HPER 5300, HPER 6100, HPER 6110 aparecen o fueron macheados en Year 3.</t>
  </si>
  <si>
    <t>Falta HPER 6030, porque la subespecialidad lista formalmente HPER 5300, HPER 6030, HPER 6100 y HPER 6110. Los cursos HPER 5000, HPER 5050, HPER 6550, HPER 6660 y HPER 6910 pueden apoyar el área, pero no sustituyen automáticamente los cuatro cursos requeridos de la subespecialidad. (Inter American University Catalog)</t>
  </si>
  <si>
    <t>DBA en Emprendimiento</t>
  </si>
  <si>
    <t>ENTR 7000, 7010, 7020, 797A, 797B, 797C, 8110, 8120, 8130 y 8990 aparecen en Year 3.</t>
  </si>
  <si>
    <t>Faltan los cursos operacionales ENTR 8910, ENTR 8950, ENTR 8991, ENTR 8992 y ENTR 8993. El catálogo también permite ENTR 797C o ENTR 8200 como distributivo prescrito; como ENTR 797C aparece, ENTR 8200 no es obligatorio si se usa esa opción. (Inter American University Catalog)</t>
  </si>
  <si>
    <t>Inglés: Enseñanza del Inglés como Segundo Idioma (MA-TESOL)</t>
  </si>
  <si>
    <t>ENGL 5220, 6170, 6530, 5210, 5330, 6180, 6600 y 6970 aparecen en Year 3.</t>
  </si>
  <si>
    <t>Faltan cursos de especialidad requeridos: ENGL 5040, ENGL 5050, ENGL 5240, ENGL 6090, ENGL 6100 y ENGL 6113. También falta definir el curso de literatura requerido dentro de la especialidad. Los distributivos no necesariamente faltan todos, porque el catálogo pide seleccionar 6 créditos de una lista y Year 3 ya incluye varias opciones. (Inter American University Catalog)</t>
  </si>
  <si>
    <t>DMA en Educación Musical</t>
  </si>
  <si>
    <t>MUED 7015, 7101, 7102, 7210, 7321, 7322, 7430, 7440, 7540, 7650, 8020, 8960; MUSI 7010, 7012, 7025, 7026, 7030, 7500 y 8700 aparecen en Year 3.</t>
  </si>
  <si>
    <t>Faltan los cursos operacionales MUED 8991 y MUED 8992. Los distributivos no deben verse todos como faltantes, porque el catálogo requiere seleccionar 9 créditos de una lista de opciones. Si se quiere completar el banco completo de opciones, quedarían por considerar MUED 797_, MUSI 8861 y MUSI 8862, pero no son obligatorios todos. (Inter American University Catalog)</t>
  </si>
  <si>
    <t>Doctorado en Educación (Ed.D.)</t>
  </si>
  <si>
    <t>EDUC 7050, 7060 y 7070 aparecen en Year 3. También aparecen EDUC 8500 y 8530 para Gerencia y Liderazgo Educativos.</t>
  </si>
  <si>
    <t>Para el componente general del Ed.D., faltan cursos de fundamentos a seleccionar, cursos operacionales EDUC 8960, EDUC 8991 y EDUC 8992, además de electivos doctorales según la especialidad. En la especialidad de Gerencia y Liderazgo Educativos, faltan EDUC 8550, EDUC 8560, EDUC 8570 y EDUC 8575, más dos distributivos prescritos y un electivo doctoral. (Inter American University Catalog)</t>
  </si>
  <si>
    <t>MATH 5400 aparece en Year 3.</t>
  </si>
  <si>
    <t>Faltan cursos medulares: MATH 5100, MATH 5200, MATH 5500, MATH 5800 y MATH 6400. También falta seleccionar/desarrollar 15 créditos distributivos prescritos, equivalentes a cinco cursos de la lista del catálogo. (Inter American University Catalog)</t>
  </si>
  <si>
    <t>EVSC 5285 y EVSC 5275 aparecen en Year 3.</t>
  </si>
  <si>
    <t>Faltan cursos medulares como EVSC 5000, EVSC 5030, EVSC 5165, EVSC 6101, EVSC 6102 y EVSC 699A. También falta definir la especialidad correspondiente y completar los créditos requeridos de esa concentración. EVSC 5275 puede contar como distributivo, pero no cubre por sí solo todos los requisitos distributivos. (Inter American University Catalog)</t>
  </si>
  <si>
    <t>MA en Psicología – base común</t>
  </si>
  <si>
    <t>PSYC 5015, 5050, 5060 y 5220 aparecen en Year 3.</t>
  </si>
  <si>
    <t>Faltan cursos medulares como PSYC 5030, PSYC 5033, PSYC 5040, PSYC 5100, PSYC 5150, PSYC 5170 y PSYC 5200. Estos son necesarios para completar la base común del programa, antes de entrar a las especialidades. (Inter American University Catalog)</t>
  </si>
  <si>
    <t>MA Psicología – Consejería Psicológica</t>
  </si>
  <si>
    <t>PSYC 5286, 5287, 6933 y SEMI 6970 aparecen en Year 3.</t>
  </si>
  <si>
    <t>Faltan varios cursos de especialidad, incluyendo PSYC 6090, 6255, 6265, 6275, 6276, 6280, 6281, 6290, 6291, 6914, 6915, 6934, 6935 y 6936. (Inter American University Catalog)</t>
  </si>
  <si>
    <t>MA Psicología – Psicología Escolar</t>
  </si>
  <si>
    <t>PSYC 5296 y 5297 aparecen en Year 3.</t>
  </si>
  <si>
    <t>Faltan cursos como PSYC 6090, 6255, 6265, 6216, 6428, 6285, 6286, 6290, 6291, 6914, 6915, 6933, 6944, 6945, 6946 y SEMI 6970, si no se reutiliza el mismo desarrollo del seminario integrador. (Inter American University Catalog)</t>
  </si>
  <si>
    <t>PSYC 7010, 7015, 7020, 7030, 7040, 7045, 7050 y 8912 aparecen en Year 3.</t>
  </si>
  <si>
    <t>Falta PSYC 7060 en el componente medular. También faltan cursos de concentración como PSYC 8610, 8630, 8640, 8650, 8660, 8919, 8921, 8922, 8923, 8975, 8976, 8977 y 8978. Además, faltan los operacionales PSYC 8990A, 8990B, 8991 y 8992. (Inter American University Catalog)</t>
  </si>
  <si>
    <t>PSYC 7005, 7010, 7020, 7030, 7040, 7045, 7050 y 8912 aparecen en Year 3.</t>
  </si>
  <si>
    <t>Falta PSYC 7060 en el componente medular. También faltan cursos de concentración como PSYC 8330, 8610, 8620, 8630, 8650, 8660, 8914, 8919, 8921, 8923, 8985, 8986, 8987 y 8988. Además, faltan los operacionales PSYC 8990A, 8990B, 8991 y 8992. (Inter American University Catalog)</t>
  </si>
  <si>
    <t>Propuesta Aprobadas y Aceptadas en Compromiso Año 2</t>
  </si>
  <si>
    <t>María J. Ruíz De la Cruz</t>
  </si>
  <si>
    <t>EVSC 6101</t>
  </si>
  <si>
    <t>Certificado Year 1 / Pagado Year 2 el 7-Feb-25</t>
  </si>
  <si>
    <t>8-Ago-24</t>
  </si>
  <si>
    <t>16-Dic-24</t>
  </si>
  <si>
    <t>EDUC 5047</t>
  </si>
  <si>
    <t>Certificado Year 1 / Pagado Year 2 el 22-Oct-24</t>
  </si>
  <si>
    <t>EDUC 6220</t>
  </si>
  <si>
    <t>Certificado / Pagado 7-Mar-25</t>
  </si>
  <si>
    <t>EDUC 5111</t>
  </si>
  <si>
    <t>Carlos Irizarry Guzmán</t>
  </si>
  <si>
    <t>BADM 697A</t>
  </si>
  <si>
    <t>Certificado / Pagado 7-Feb-25</t>
  </si>
  <si>
    <t>20-Ago-24</t>
  </si>
  <si>
    <t>28-Ene-25</t>
  </si>
  <si>
    <t>17-Dic-24</t>
  </si>
  <si>
    <t>Lester Torres Rivera</t>
  </si>
  <si>
    <t>ENTR 8910</t>
  </si>
  <si>
    <t>José G. Montañez Orengo</t>
  </si>
  <si>
    <t>ENTR 7000</t>
  </si>
  <si>
    <t>Mari L. Martinez ALdebol</t>
  </si>
  <si>
    <t>EDUC 697F</t>
  </si>
  <si>
    <t>Caroline Ayala Martínez</t>
  </si>
  <si>
    <t>ENTR 7010</t>
  </si>
  <si>
    <t>ENTR 8950</t>
  </si>
  <si>
    <t>Certificado / Pagado 21-Mar-25</t>
  </si>
  <si>
    <t>ENTR 8991</t>
  </si>
  <si>
    <t>Certificado / Pagado 6-Jun-2025</t>
  </si>
  <si>
    <t>9-Abr-25</t>
  </si>
  <si>
    <t>ENTR 8992</t>
  </si>
  <si>
    <t>ENTR 8993</t>
  </si>
  <si>
    <t>ENTR 7020</t>
  </si>
  <si>
    <t>EDUC 6097</t>
  </si>
  <si>
    <t>Certificado / Pagado 22-Ago-2025</t>
  </si>
  <si>
    <t>11-Ago-25</t>
  </si>
  <si>
    <t>MATH 5500</t>
  </si>
  <si>
    <t>Certificado / Pagado 19-Sep-2025</t>
  </si>
  <si>
    <t>José Sellas Aponte</t>
  </si>
  <si>
    <t>ENGL 6600</t>
  </si>
  <si>
    <t>Certificado / Pagado 7-Ago-2025</t>
  </si>
  <si>
    <r>
      <t xml:space="preserve">Propuesta Aprobadas por Decanato de Asuntos Académicos para consideración de pago bajo UCAN Año 2 / </t>
    </r>
    <r>
      <rPr>
        <b/>
        <i/>
        <sz val="11"/>
        <color theme="1"/>
        <rFont val="Calibri"/>
        <family val="2"/>
        <scheme val="minor"/>
      </rPr>
      <t>Cursos creados</t>
    </r>
  </si>
  <si>
    <t>TOTAL DE GASTOS INCURRIDOS EN EL DESARROLO DE CURSOS COMPROMETIDOS Y APROBADOS HASTA JULIO 2025</t>
  </si>
  <si>
    <t>OTROS CURSOS</t>
  </si>
  <si>
    <t>Por Heidy Seda</t>
  </si>
  <si>
    <t>Certificado / Pagado en Year 2 el 7-Feb-25</t>
  </si>
  <si>
    <t>Certificado / Pagado en Year 2 el 22-Oct-24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</si>
</sst>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 val="doubleAccounting"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 val="doubleAccounting"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FF"/>
      <name val="Calibri"/>
      <scheme val="minor"/>
    </font>
    <font>
      <i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9"/>
      <color theme="1"/>
      <name val="Book Antiqua"/>
      <family val="1"/>
    </font>
    <font>
      <b/>
      <sz val="9"/>
      <color rgb="FF00B050"/>
      <name val="Book Antiqua"/>
      <family val="1"/>
    </font>
    <font>
      <b/>
      <sz val="9"/>
      <color rgb="FF993300"/>
      <name val="Book Antiqua"/>
      <family val="1"/>
    </font>
    <font>
      <b/>
      <sz val="9"/>
      <color rgb="FF7030A0"/>
      <name val="Book Antiqua"/>
      <family val="1"/>
    </font>
    <font>
      <b/>
      <sz val="9"/>
      <color rgb="FF00B0F0"/>
      <name val="Book Antiqua"/>
      <family val="1"/>
    </font>
    <font>
      <b/>
      <sz val="9"/>
      <color rgb="FF25653A"/>
      <name val="Book Antiqua"/>
      <family val="1"/>
    </font>
    <font>
      <b/>
      <sz val="9"/>
      <color rgb="FF984806"/>
      <name val="Book Antiqua"/>
      <family val="1"/>
    </font>
    <font>
      <sz val="9"/>
      <color theme="1"/>
      <name val="Times New Roman"/>
      <family val="1"/>
    </font>
    <font>
      <b/>
      <sz val="9"/>
      <color rgb="FFFF6600"/>
      <name val="Book Antiqua"/>
      <family val="1"/>
    </font>
    <font>
      <b/>
      <sz val="9"/>
      <color rgb="FF943634"/>
      <name val="Book Antiqua"/>
      <family val="1"/>
    </font>
    <font>
      <b/>
      <sz val="9"/>
      <color theme="1"/>
      <name val="Book Antiqua"/>
      <family val="1"/>
    </font>
    <font>
      <i/>
      <sz val="9"/>
      <color theme="1"/>
      <name val="Book Antiqua"/>
      <family val="1"/>
    </font>
    <font>
      <sz val="28"/>
      <color rgb="FFFF0000"/>
      <name val="Calibri"/>
      <family val="2"/>
      <scheme val="minor"/>
    </font>
    <font>
      <sz val="48"/>
      <color rgb="FFFF0000"/>
      <name val="Calibri"/>
      <family val="2"/>
      <scheme val="minor"/>
    </font>
    <font>
      <b/>
      <sz val="11"/>
      <color rgb="FF000000"/>
      <name val="Calibri"/>
      <scheme val="minor"/>
    </font>
    <font>
      <u/>
      <sz val="11"/>
      <color theme="1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30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right" vertical="center"/>
    </xf>
    <xf numFmtId="44" fontId="4" fillId="0" borderId="0" xfId="0" applyNumberFormat="1" applyFont="1" applyAlignment="1">
      <alignment vertical="center"/>
    </xf>
    <xf numFmtId="44" fontId="6" fillId="8" borderId="0" xfId="0" applyNumberFormat="1" applyFont="1" applyFill="1"/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vertical="center"/>
    </xf>
    <xf numFmtId="44" fontId="0" fillId="0" borderId="0" xfId="1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9" borderId="2" xfId="0" applyFill="1" applyBorder="1" applyAlignment="1">
      <alignment horizontal="right"/>
    </xf>
    <xf numFmtId="44" fontId="0" fillId="9" borderId="3" xfId="0" applyNumberFormat="1" applyFill="1" applyBorder="1"/>
    <xf numFmtId="0" fontId="3" fillId="0" borderId="0" xfId="0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44" fontId="0" fillId="0" borderId="0" xfId="1" applyFont="1" applyFill="1" applyBorder="1" applyAlignment="1">
      <alignment vertical="center"/>
    </xf>
    <xf numFmtId="44" fontId="6" fillId="0" borderId="0" xfId="0" applyNumberFormat="1" applyFont="1"/>
    <xf numFmtId="44" fontId="0" fillId="0" borderId="0" xfId="0" applyNumberFormat="1"/>
    <xf numFmtId="0" fontId="3" fillId="0" borderId="0" xfId="0" applyFont="1" applyAlignment="1">
      <alignment horizontal="center" wrapText="1"/>
    </xf>
    <xf numFmtId="15" fontId="0" fillId="0" borderId="1" xfId="1" applyNumberFormat="1" applyFont="1" applyBorder="1" applyAlignment="1">
      <alignment horizontal="right" vertical="center"/>
    </xf>
    <xf numFmtId="22" fontId="0" fillId="0" borderId="0" xfId="0" applyNumberFormat="1"/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44" fontId="0" fillId="0" borderId="4" xfId="1" applyFont="1" applyFill="1" applyBorder="1" applyAlignment="1">
      <alignment vertical="center"/>
    </xf>
    <xf numFmtId="15" fontId="0" fillId="0" borderId="4" xfId="1" applyNumberFormat="1" applyFont="1" applyFill="1" applyBorder="1" applyAlignment="1">
      <alignment horizontal="right" vertical="center"/>
    </xf>
    <xf numFmtId="44" fontId="0" fillId="0" borderId="6" xfId="1" applyFont="1" applyFill="1" applyBorder="1" applyAlignment="1">
      <alignment horizontal="right" vertical="center"/>
    </xf>
    <xf numFmtId="0" fontId="10" fillId="0" borderId="7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44" fontId="0" fillId="0" borderId="1" xfId="1" applyFont="1" applyFill="1" applyBorder="1" applyAlignment="1">
      <alignment horizontal="right" vertical="center"/>
    </xf>
    <xf numFmtId="44" fontId="0" fillId="0" borderId="1" xfId="1" applyFont="1" applyFill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44" fontId="0" fillId="0" borderId="5" xfId="1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10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center" vertical="center"/>
    </xf>
    <xf numFmtId="44" fontId="0" fillId="0" borderId="10" xfId="1" applyFont="1" applyFill="1" applyBorder="1" applyAlignment="1">
      <alignment vertical="center"/>
    </xf>
    <xf numFmtId="15" fontId="0" fillId="0" borderId="11" xfId="1" applyNumberFormat="1" applyFont="1" applyFill="1" applyBorder="1" applyAlignment="1">
      <alignment horizontal="right" vertical="center"/>
    </xf>
    <xf numFmtId="15" fontId="0" fillId="0" borderId="1" xfId="1" applyNumberFormat="1" applyFont="1" applyFill="1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44" fontId="0" fillId="0" borderId="5" xfId="1" applyFont="1" applyFill="1" applyBorder="1" applyAlignment="1">
      <alignment horizontal="right" vertical="center"/>
    </xf>
    <xf numFmtId="15" fontId="0" fillId="0" borderId="5" xfId="1" applyNumberFormat="1" applyFont="1" applyFill="1" applyBorder="1" applyAlignment="1">
      <alignment horizontal="right" vertical="center"/>
    </xf>
    <xf numFmtId="164" fontId="4" fillId="9" borderId="3" xfId="0" applyNumberFormat="1" applyFont="1" applyFill="1" applyBorder="1" applyAlignment="1">
      <alignment vertical="center"/>
    </xf>
    <xf numFmtId="164" fontId="0" fillId="0" borderId="10" xfId="1" applyNumberFormat="1" applyFont="1" applyFill="1" applyBorder="1" applyAlignment="1">
      <alignment horizontal="right" vertical="center"/>
    </xf>
    <xf numFmtId="0" fontId="10" fillId="0" borderId="4" xfId="0" applyFont="1" applyBorder="1" applyAlignment="1">
      <alignment horizontal="left" vertical="center" wrapText="1"/>
    </xf>
    <xf numFmtId="15" fontId="0" fillId="0" borderId="10" xfId="1" applyNumberFormat="1" applyFont="1" applyFill="1" applyBorder="1" applyAlignment="1">
      <alignment horizontal="right" vertical="center"/>
    </xf>
    <xf numFmtId="0" fontId="10" fillId="0" borderId="10" xfId="0" applyFont="1" applyBorder="1" applyAlignment="1">
      <alignment horizontal="left" vertical="center" wrapText="1"/>
    </xf>
    <xf numFmtId="0" fontId="11" fillId="0" borderId="0" xfId="0" applyFont="1"/>
    <xf numFmtId="44" fontId="11" fillId="0" borderId="0" xfId="1" applyFont="1" applyFill="1" applyBorder="1" applyAlignment="1">
      <alignment vertical="center"/>
    </xf>
    <xf numFmtId="44" fontId="3" fillId="0" borderId="0" xfId="0" applyNumberFormat="1" applyFont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2" fillId="0" borderId="1" xfId="0" applyFont="1" applyBorder="1" applyAlignment="1">
      <alignment horizontal="left"/>
    </xf>
    <xf numFmtId="0" fontId="0" fillId="0" borderId="1" xfId="0" applyBorder="1"/>
    <xf numFmtId="0" fontId="0" fillId="0" borderId="0" xfId="0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4" fontId="0" fillId="0" borderId="11" xfId="1" applyFont="1" applyFill="1" applyBorder="1" applyAlignment="1">
      <alignment vertical="center"/>
    </xf>
    <xf numFmtId="44" fontId="0" fillId="0" borderId="6" xfId="1" applyFont="1" applyFill="1" applyBorder="1" applyAlignment="1">
      <alignment vertical="center"/>
    </xf>
    <xf numFmtId="0" fontId="12" fillId="10" borderId="1" xfId="0" applyFont="1" applyFill="1" applyBorder="1" applyAlignment="1">
      <alignment horizontal="left"/>
    </xf>
    <xf numFmtId="0" fontId="9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0" fontId="12" fillId="10" borderId="0" xfId="0" applyFont="1" applyFill="1" applyAlignment="1">
      <alignment wrapText="1"/>
    </xf>
    <xf numFmtId="0" fontId="0" fillId="10" borderId="1" xfId="0" applyFill="1" applyBorder="1"/>
    <xf numFmtId="0" fontId="12" fillId="10" borderId="1" xfId="0" applyFont="1" applyFill="1" applyBorder="1"/>
    <xf numFmtId="0" fontId="0" fillId="11" borderId="1" xfId="0" applyFill="1" applyBorder="1" applyAlignment="1">
      <alignment vertical="center" wrapText="1"/>
    </xf>
    <xf numFmtId="0" fontId="9" fillId="11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13" fillId="12" borderId="1" xfId="0" applyFont="1" applyFill="1" applyBorder="1" applyAlignment="1">
      <alignment vertical="center" wrapText="1"/>
    </xf>
    <xf numFmtId="0" fontId="9" fillId="12" borderId="1" xfId="0" applyFont="1" applyFill="1" applyBorder="1" applyAlignment="1">
      <alignment horizontal="center" vertical="center"/>
    </xf>
    <xf numFmtId="0" fontId="9" fillId="12" borderId="10" xfId="0" applyFont="1" applyFill="1" applyBorder="1" applyAlignment="1">
      <alignment horizontal="center" vertical="center"/>
    </xf>
    <xf numFmtId="0" fontId="0" fillId="13" borderId="1" xfId="0" applyFill="1" applyBorder="1" applyAlignment="1">
      <alignment vertical="center" wrapText="1"/>
    </xf>
    <xf numFmtId="0" fontId="9" fillId="13" borderId="10" xfId="0" applyFont="1" applyFill="1" applyBorder="1" applyAlignment="1">
      <alignment horizontal="center" vertical="center"/>
    </xf>
    <xf numFmtId="0" fontId="0" fillId="14" borderId="13" xfId="0" applyFill="1" applyBorder="1" applyAlignment="1">
      <alignment vertical="center" wrapText="1"/>
    </xf>
    <xf numFmtId="0" fontId="9" fillId="14" borderId="10" xfId="0" applyFont="1" applyFill="1" applyBorder="1" applyAlignment="1">
      <alignment horizontal="center" vertical="center"/>
    </xf>
    <xf numFmtId="0" fontId="0" fillId="14" borderId="4" xfId="0" applyFill="1" applyBorder="1" applyAlignment="1">
      <alignment vertical="center" wrapText="1"/>
    </xf>
    <xf numFmtId="0" fontId="9" fillId="15" borderId="10" xfId="0" applyFont="1" applyFill="1" applyBorder="1" applyAlignment="1">
      <alignment horizontal="center" vertical="center"/>
    </xf>
    <xf numFmtId="0" fontId="0" fillId="15" borderId="12" xfId="0" applyFill="1" applyBorder="1" applyAlignment="1">
      <alignment vertical="center" wrapText="1"/>
    </xf>
    <xf numFmtId="0" fontId="16" fillId="13" borderId="1" xfId="0" applyFont="1" applyFill="1" applyBorder="1"/>
    <xf numFmtId="0" fontId="17" fillId="13" borderId="1" xfId="0" applyFont="1" applyFill="1" applyBorder="1"/>
    <xf numFmtId="0" fontId="18" fillId="13" borderId="1" xfId="0" applyFont="1" applyFill="1" applyBorder="1" applyAlignment="1">
      <alignment vertical="center"/>
    </xf>
    <xf numFmtId="0" fontId="19" fillId="13" borderId="1" xfId="0" applyFont="1" applyFill="1" applyBorder="1"/>
    <xf numFmtId="0" fontId="20" fillId="13" borderId="1" xfId="0" applyFont="1" applyFill="1" applyBorder="1"/>
    <xf numFmtId="0" fontId="21" fillId="13" borderId="1" xfId="0" applyFont="1" applyFill="1" applyBorder="1" applyAlignment="1">
      <alignment vertical="center"/>
    </xf>
    <xf numFmtId="0" fontId="23" fillId="13" borderId="1" xfId="0" applyFont="1" applyFill="1" applyBorder="1"/>
    <xf numFmtId="0" fontId="24" fillId="13" borderId="1" xfId="0" applyFont="1" applyFill="1" applyBorder="1"/>
    <xf numFmtId="0" fontId="21" fillId="13" borderId="1" xfId="0" applyFont="1" applyFill="1" applyBorder="1"/>
    <xf numFmtId="0" fontId="25" fillId="13" borderId="1" xfId="0" applyFont="1" applyFill="1" applyBorder="1"/>
    <xf numFmtId="0" fontId="18" fillId="13" borderId="1" xfId="0" applyFont="1" applyFill="1" applyBorder="1"/>
    <xf numFmtId="0" fontId="28" fillId="0" borderId="0" xfId="0" applyFont="1"/>
    <xf numFmtId="0" fontId="0" fillId="16" borderId="4" xfId="0" applyFill="1" applyBorder="1" applyAlignment="1">
      <alignment vertical="center" wrapText="1"/>
    </xf>
    <xf numFmtId="0" fontId="9" fillId="16" borderId="10" xfId="0" applyFont="1" applyFill="1" applyBorder="1" applyAlignment="1">
      <alignment horizontal="center" vertical="center"/>
    </xf>
    <xf numFmtId="0" fontId="0" fillId="11" borderId="6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11" borderId="6" xfId="0" applyFont="1" applyFill="1" applyBorder="1" applyAlignment="1">
      <alignment horizontal="left" vertical="center" wrapText="1"/>
    </xf>
    <xf numFmtId="0" fontId="0" fillId="13" borderId="4" xfId="0" applyFill="1" applyBorder="1" applyAlignment="1">
      <alignment vertical="center" wrapText="1"/>
    </xf>
    <xf numFmtId="0" fontId="0" fillId="13" borderId="5" xfId="0" applyFill="1" applyBorder="1" applyAlignment="1">
      <alignment vertical="center" wrapText="1"/>
    </xf>
    <xf numFmtId="0" fontId="9" fillId="14" borderId="14" xfId="0" applyFont="1" applyFill="1" applyBorder="1" applyAlignment="1">
      <alignment horizontal="center" vertical="center"/>
    </xf>
    <xf numFmtId="0" fontId="9" fillId="13" borderId="12" xfId="0" applyFont="1" applyFill="1" applyBorder="1" applyAlignment="1">
      <alignment horizontal="center" vertical="center"/>
    </xf>
    <xf numFmtId="0" fontId="0" fillId="0" borderId="4" xfId="0" applyBorder="1"/>
    <xf numFmtId="0" fontId="3" fillId="6" borderId="15" xfId="0" applyFont="1" applyFill="1" applyBorder="1" applyAlignment="1">
      <alignment horizontal="center" vertical="center" wrapText="1"/>
    </xf>
    <xf numFmtId="164" fontId="0" fillId="10" borderId="15" xfId="0" applyNumberFormat="1" applyFill="1" applyBorder="1" applyAlignment="1">
      <alignment horizontal="right" vertical="center" wrapText="1"/>
    </xf>
    <xf numFmtId="164" fontId="0" fillId="10" borderId="9" xfId="1" applyNumberFormat="1" applyFont="1" applyFill="1" applyBorder="1" applyAlignment="1">
      <alignment horizontal="right" vertical="center"/>
    </xf>
    <xf numFmtId="164" fontId="0" fillId="11" borderId="15" xfId="0" applyNumberFormat="1" applyFill="1" applyBorder="1" applyAlignment="1">
      <alignment horizontal="right" vertical="center" wrapText="1"/>
    </xf>
    <xf numFmtId="164" fontId="0" fillId="12" borderId="15" xfId="0" applyNumberFormat="1" applyFill="1" applyBorder="1" applyAlignment="1">
      <alignment horizontal="right" vertical="center" wrapText="1"/>
    </xf>
    <xf numFmtId="164" fontId="0" fillId="12" borderId="9" xfId="1" applyNumberFormat="1" applyFont="1" applyFill="1" applyBorder="1" applyAlignment="1">
      <alignment horizontal="right" vertical="center"/>
    </xf>
    <xf numFmtId="164" fontId="0" fillId="13" borderId="9" xfId="1" applyNumberFormat="1" applyFont="1" applyFill="1" applyBorder="1" applyAlignment="1">
      <alignment horizontal="right" vertical="center"/>
    </xf>
    <xf numFmtId="164" fontId="0" fillId="13" borderId="12" xfId="1" applyNumberFormat="1" applyFont="1" applyFill="1" applyBorder="1" applyAlignment="1">
      <alignment horizontal="right" vertical="center"/>
    </xf>
    <xf numFmtId="164" fontId="0" fillId="14" borderId="16" xfId="1" applyNumberFormat="1" applyFont="1" applyFill="1" applyBorder="1" applyAlignment="1">
      <alignment horizontal="right" vertical="center"/>
    </xf>
    <xf numFmtId="164" fontId="0" fillId="14" borderId="9" xfId="1" applyNumberFormat="1" applyFont="1" applyFill="1" applyBorder="1" applyAlignment="1">
      <alignment horizontal="right" vertical="center"/>
    </xf>
    <xf numFmtId="164" fontId="0" fillId="15" borderId="9" xfId="1" applyNumberFormat="1" applyFont="1" applyFill="1" applyBorder="1" applyAlignment="1">
      <alignment horizontal="right" vertical="center"/>
    </xf>
    <xf numFmtId="164" fontId="0" fillId="16" borderId="9" xfId="1" applyNumberFormat="1" applyFont="1" applyFill="1" applyBorder="1" applyAlignment="1">
      <alignment horizontal="right" vertical="center"/>
    </xf>
    <xf numFmtId="0" fontId="0" fillId="0" borderId="4" xfId="0" applyBorder="1" applyAlignment="1">
      <alignment vertical="center"/>
    </xf>
    <xf numFmtId="0" fontId="3" fillId="17" borderId="4" xfId="0" applyFont="1" applyFill="1" applyBorder="1" applyAlignment="1">
      <alignment vertical="center"/>
    </xf>
    <xf numFmtId="0" fontId="0" fillId="0" borderId="12" xfId="0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10" borderId="15" xfId="0" applyFill="1" applyBorder="1" applyAlignment="1">
      <alignment horizontal="left" vertical="center" wrapText="1"/>
    </xf>
    <xf numFmtId="0" fontId="12" fillId="10" borderId="15" xfId="0" applyFont="1" applyFill="1" applyBorder="1" applyAlignment="1">
      <alignment wrapText="1"/>
    </xf>
    <xf numFmtId="0" fontId="3" fillId="11" borderId="15" xfId="0" applyFont="1" applyFill="1" applyBorder="1" applyAlignment="1">
      <alignment wrapText="1"/>
    </xf>
    <xf numFmtId="0" fontId="8" fillId="11" borderId="15" xfId="0" applyFont="1" applyFill="1" applyBorder="1" applyAlignment="1">
      <alignment wrapText="1"/>
    </xf>
    <xf numFmtId="0" fontId="3" fillId="11" borderId="15" xfId="0" applyFont="1" applyFill="1" applyBorder="1" applyAlignment="1">
      <alignment horizontal="left" vertical="center" wrapText="1"/>
    </xf>
    <xf numFmtId="0" fontId="13" fillId="12" borderId="15" xfId="0" applyFont="1" applyFill="1" applyBorder="1" applyAlignment="1">
      <alignment vertical="center" wrapText="1"/>
    </xf>
    <xf numFmtId="0" fontId="0" fillId="12" borderId="15" xfId="0" applyFill="1" applyBorder="1" applyAlignment="1">
      <alignment horizontal="left" vertical="center" wrapText="1"/>
    </xf>
    <xf numFmtId="0" fontId="0" fillId="12" borderId="15" xfId="0" applyFill="1" applyBorder="1" applyAlignment="1">
      <alignment wrapText="1"/>
    </xf>
    <xf numFmtId="0" fontId="15" fillId="13" borderId="15" xfId="0" applyFont="1" applyFill="1" applyBorder="1" applyAlignment="1">
      <alignment vertical="center"/>
    </xf>
    <xf numFmtId="0" fontId="15" fillId="13" borderId="15" xfId="0" applyFont="1" applyFill="1" applyBorder="1"/>
    <xf numFmtId="0" fontId="26" fillId="13" borderId="15" xfId="0" applyFont="1" applyFill="1" applyBorder="1"/>
    <xf numFmtId="0" fontId="26" fillId="13" borderId="7" xfId="0" applyFont="1" applyFill="1" applyBorder="1"/>
    <xf numFmtId="0" fontId="26" fillId="13" borderId="12" xfId="0" applyFont="1" applyFill="1" applyBorder="1"/>
    <xf numFmtId="0" fontId="29" fillId="14" borderId="17" xfId="0" applyFont="1" applyFill="1" applyBorder="1" applyAlignment="1">
      <alignment horizontal="left" vertical="center" wrapText="1"/>
    </xf>
    <xf numFmtId="0" fontId="7" fillId="14" borderId="12" xfId="0" applyFont="1" applyFill="1" applyBorder="1" applyAlignment="1">
      <alignment horizontal="left" vertical="center" wrapText="1"/>
    </xf>
    <xf numFmtId="0" fontId="0" fillId="14" borderId="12" xfId="0" applyFill="1" applyBorder="1" applyAlignment="1">
      <alignment horizontal="left" vertical="center" wrapText="1"/>
    </xf>
    <xf numFmtId="0" fontId="7" fillId="14" borderId="9" xfId="0" applyFont="1" applyFill="1" applyBorder="1" applyAlignment="1">
      <alignment horizontal="left" vertical="center" wrapText="1"/>
    </xf>
    <xf numFmtId="0" fontId="14" fillId="15" borderId="15" xfId="0" applyFont="1" applyFill="1" applyBorder="1"/>
    <xf numFmtId="0" fontId="0" fillId="16" borderId="17" xfId="0" applyFill="1" applyBorder="1" applyAlignment="1">
      <alignment horizontal="left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9" fillId="10" borderId="18" xfId="0" applyFont="1" applyFill="1" applyBorder="1" applyAlignment="1">
      <alignment horizontal="left" vertical="center" wrapText="1"/>
    </xf>
    <xf numFmtId="0" fontId="0" fillId="10" borderId="18" xfId="0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9" fillId="0" borderId="18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0" fillId="0" borderId="18" xfId="0" applyBorder="1"/>
    <xf numFmtId="0" fontId="10" fillId="0" borderId="20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0" fillId="10" borderId="4" xfId="0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wrapText="1"/>
    </xf>
    <xf numFmtId="0" fontId="3" fillId="11" borderId="4" xfId="0" applyFont="1" applyFill="1" applyBorder="1" applyAlignment="1">
      <alignment horizontal="center" wrapText="1"/>
    </xf>
    <xf numFmtId="0" fontId="8" fillId="11" borderId="4" xfId="0" applyFont="1" applyFill="1" applyBorder="1" applyAlignment="1">
      <alignment horizontal="center" wrapText="1"/>
    </xf>
    <xf numFmtId="0" fontId="3" fillId="11" borderId="4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wrapText="1"/>
    </xf>
    <xf numFmtId="0" fontId="15" fillId="13" borderId="4" xfId="0" applyFont="1" applyFill="1" applyBorder="1" applyAlignment="1">
      <alignment horizontal="center" vertical="center"/>
    </xf>
    <xf numFmtId="0" fontId="15" fillId="13" borderId="4" xfId="0" applyFont="1" applyFill="1" applyBorder="1" applyAlignment="1">
      <alignment horizontal="center"/>
    </xf>
    <xf numFmtId="0" fontId="26" fillId="13" borderId="4" xfId="0" applyFont="1" applyFill="1" applyBorder="1" applyAlignment="1">
      <alignment horizontal="center"/>
    </xf>
    <xf numFmtId="0" fontId="29" fillId="14" borderId="4" xfId="0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14" fillId="15" borderId="4" xfId="0" applyFont="1" applyFill="1" applyBorder="1" applyAlignment="1">
      <alignment horizontal="center"/>
    </xf>
    <xf numFmtId="0" fontId="0" fillId="16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164" fontId="0" fillId="0" borderId="4" xfId="0" applyNumberFormat="1" applyBorder="1"/>
    <xf numFmtId="0" fontId="3" fillId="0" borderId="4" xfId="0" applyFont="1" applyBorder="1" applyAlignment="1">
      <alignment horizontal="right"/>
    </xf>
    <xf numFmtId="164" fontId="3" fillId="0" borderId="23" xfId="0" applyNumberFormat="1" applyFont="1" applyBorder="1"/>
    <xf numFmtId="164" fontId="0" fillId="0" borderId="10" xfId="0" applyNumberFormat="1" applyBorder="1"/>
    <xf numFmtId="0" fontId="25" fillId="13" borderId="15" xfId="0" applyFont="1" applyFill="1" applyBorder="1" applyAlignment="1">
      <alignment vertic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0" fillId="0" borderId="0" xfId="2" applyAlignment="1">
      <alignment vertical="top" wrapText="1"/>
    </xf>
    <xf numFmtId="0" fontId="0" fillId="0" borderId="15" xfId="0" applyBorder="1" applyAlignment="1">
      <alignment horizontal="left" vertical="center" wrapText="1"/>
    </xf>
    <xf numFmtId="0" fontId="0" fillId="18" borderId="15" xfId="0" applyFill="1" applyBorder="1" applyAlignment="1">
      <alignment horizontal="left" vertical="center" wrapText="1"/>
    </xf>
    <xf numFmtId="44" fontId="27" fillId="0" borderId="0" xfId="0" applyNumberFormat="1" applyFont="1" applyAlignment="1">
      <alignment horizontal="left"/>
    </xf>
    <xf numFmtId="0" fontId="3" fillId="8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11" borderId="6" xfId="0" applyFont="1" applyFill="1" applyBorder="1" applyAlignment="1">
      <alignment horizontal="left" vertical="center" wrapText="1"/>
    </xf>
    <xf numFmtId="0" fontId="1" fillId="12" borderId="6" xfId="0" applyFont="1" applyFill="1" applyBorder="1" applyAlignment="1">
      <alignment horizontal="left" vertical="center" wrapText="1"/>
    </xf>
    <xf numFmtId="0" fontId="1" fillId="13" borderId="6" xfId="0" applyFont="1" applyFill="1" applyBorder="1" applyAlignment="1">
      <alignment horizontal="left" vertical="center" wrapText="1"/>
    </xf>
    <xf numFmtId="0" fontId="1" fillId="13" borderId="11" xfId="0" applyFont="1" applyFill="1" applyBorder="1" applyAlignment="1">
      <alignment horizontal="left" vertical="center" wrapText="1"/>
    </xf>
    <xf numFmtId="0" fontId="1" fillId="14" borderId="19" xfId="0" applyFont="1" applyFill="1" applyBorder="1" applyAlignment="1">
      <alignment horizontal="left" vertical="center" wrapText="1"/>
    </xf>
    <xf numFmtId="0" fontId="1" fillId="14" borderId="6" xfId="0" applyFont="1" applyFill="1" applyBorder="1" applyAlignment="1">
      <alignment horizontal="left" vertical="center" wrapText="1"/>
    </xf>
    <xf numFmtId="0" fontId="1" fillId="15" borderId="6" xfId="0" applyFont="1" applyFill="1" applyBorder="1" applyAlignment="1">
      <alignment horizontal="left" vertical="center" wrapText="1"/>
    </xf>
    <xf numFmtId="0" fontId="1" fillId="16" borderId="6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00FF"/>
      <color rgb="FF7E07ED"/>
      <color rgb="FF003399"/>
      <color rgb="FF0000CC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nter.smartcatalogiq.com/en/2025-2026/catalogo-graduado-2025-2026/programas-de-certificados-profesionales-maestr-a-y-doctorado/psicolog-a-ma/psicolog-a-ma-requisitos" TargetMode="External"/><Relationship Id="rId3" Type="http://schemas.openxmlformats.org/officeDocument/2006/relationships/hyperlink" Target="https://inter.smartcatalogiq.com/en/2025-2026/catalogo-graduado-2025-2026/programas-de-certificados-profesionales-maestr-a-y-doctorado/ingl-s-ense-anza-del-ingl-s-como-segundo-idioma-ma" TargetMode="External"/><Relationship Id="rId7" Type="http://schemas.openxmlformats.org/officeDocument/2006/relationships/hyperlink" Target="https://inter.smartcatalogiq.com/en/2025-2026/catalogo-graduado-2025-2026/programas-de-certificados-profesionales-maestr-a-y-doctorado/ciencias-ambientales-ms/ciencias-ambientales-ms-requisitos" TargetMode="External"/><Relationship Id="rId12" Type="http://schemas.openxmlformats.org/officeDocument/2006/relationships/hyperlink" Target="https://inter.smartcatalogiq.com/en/2025-2026/catalogo-graduado-2025-2026/programas-de-certificados-profesionales-maestr-a-y-doctorado/psicolog-a-psyd/doctorado-en-psicolog-a-psyd-en-psicolog-a-cl-nica-y-psicolog-a-escolar" TargetMode="External"/><Relationship Id="rId2" Type="http://schemas.openxmlformats.org/officeDocument/2006/relationships/hyperlink" Target="https://inter.smartcatalogiq.com/en/2025-2026/catalogo-graduado-2025-2026/programas-de-certificados-profesionales-maestr-a-y-doctorado/creatividad-innovacion-y-emprendimiento-dba" TargetMode="External"/><Relationship Id="rId1" Type="http://schemas.openxmlformats.org/officeDocument/2006/relationships/hyperlink" Target="https://inter.smartcatalogiq.com/en/2025-2026/catalogo-graduado-2025-2026/programas-de-certificados-profesionales-maestr-a-y-doctorado/maestr-a-en-artes-en-educaci-n-ma/especialidad-en-educaci-n-f-sica-ma/entrenamiento-y-desempe-o-deportivo" TargetMode="External"/><Relationship Id="rId6" Type="http://schemas.openxmlformats.org/officeDocument/2006/relationships/hyperlink" Target="https://inter.smartcatalogiq.com/en/2025-2026/catalogo-graduado-2025-2026/programas-de-certificados-profesionales-maestr-a-y-doctorado/matem-ticas-aplicadas-ma" TargetMode="External"/><Relationship Id="rId11" Type="http://schemas.openxmlformats.org/officeDocument/2006/relationships/hyperlink" Target="https://inter.smartcatalogiq.com/en/2025-2026/catalogo-graduado-2025-2026/programas-de-certificados-profesionales-maestr-a-y-doctorado/psicolog-a-psyd/doctorado-en-psicolog-a-psyd-en-psicolog-a-cl-nica-y-consejer-a-psicol-gica" TargetMode="External"/><Relationship Id="rId5" Type="http://schemas.openxmlformats.org/officeDocument/2006/relationships/hyperlink" Target="https://inter.smartcatalogiq.com/2025-2026/catalogo-graduado-2025-2026/programas-de-certificados-profesionales-maestr-a-y-doctorado/doctorado-en-educaci-n-edd/doctorado-en-educaci-n-edd-requisitos" TargetMode="External"/><Relationship Id="rId10" Type="http://schemas.openxmlformats.org/officeDocument/2006/relationships/hyperlink" Target="https://inter.smartcatalogiq.com/en/2025-2026/catalogo-graduado-2025-2026/programas-de-certificados-profesionales-maestr-a-y-doctorado/psicolog-a-ma/especialidad-en-psicolog-a-escolar" TargetMode="External"/><Relationship Id="rId4" Type="http://schemas.openxmlformats.org/officeDocument/2006/relationships/hyperlink" Target="https://inter.smartcatalogiq.com/en/2025-2026/catalogo-graduado-2025-2026/programas-de-certificados-profesionales-maestr-a-y-doctorado/educaci-n-musical-dma" TargetMode="External"/><Relationship Id="rId9" Type="http://schemas.openxmlformats.org/officeDocument/2006/relationships/hyperlink" Target="https://inter.smartcatalogiq.com/en/2025-2026/catalogo-graduado-2025-2026/programas-de-certificados-profesionales-maestr-a-y-doctorado/psicolog-a-ma/especialidad-en-consejer-a-psicol-gic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9921-A723-4A8F-B606-66BDD7D86B14}">
  <dimension ref="A2:E4"/>
  <sheetViews>
    <sheetView workbookViewId="0">
      <selection activeCell="A6" sqref="A6"/>
    </sheetView>
  </sheetViews>
  <sheetFormatPr defaultRowHeight="15"/>
  <cols>
    <col min="1" max="1" width="24.42578125" customWidth="1"/>
    <col min="2" max="2" width="10.7109375" bestFit="1" customWidth="1"/>
    <col min="3" max="3" width="44.7109375" customWidth="1"/>
  </cols>
  <sheetData>
    <row r="2" spans="1:5" ht="45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</row>
    <row r="3" spans="1:5" ht="34.5" customHeight="1">
      <c r="A3" s="42" t="s">
        <v>5</v>
      </c>
      <c r="B3" s="41" t="s">
        <v>6</v>
      </c>
      <c r="C3" s="35" t="s">
        <v>7</v>
      </c>
      <c r="D3" s="43">
        <v>6013</v>
      </c>
      <c r="E3" s="44">
        <v>1524</v>
      </c>
    </row>
    <row r="4" spans="1:5" ht="60">
      <c r="A4" s="28" t="s">
        <v>8</v>
      </c>
      <c r="B4" s="29" t="s">
        <v>9</v>
      </c>
      <c r="C4" s="203" t="s">
        <v>10</v>
      </c>
      <c r="D4" s="48">
        <v>6013</v>
      </c>
      <c r="E4" s="56">
        <v>1524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CC25-A2BB-4DDE-AAFF-4DE80C22A6E0}">
  <sheetPr>
    <pageSetUpPr fitToPage="1"/>
  </sheetPr>
  <dimension ref="A1:K145"/>
  <sheetViews>
    <sheetView tabSelected="1" topLeftCell="B1" zoomScale="70" zoomScaleNormal="70" workbookViewId="0">
      <pane ySplit="8" topLeftCell="A11" activePane="bottomLeft" state="frozen"/>
      <selection pane="bottomLeft" activeCell="C9" sqref="C9:C12"/>
    </sheetView>
  </sheetViews>
  <sheetFormatPr defaultRowHeight="15"/>
  <cols>
    <col min="1" max="1" width="3.28515625" bestFit="1" customWidth="1"/>
    <col min="2" max="2" width="37.5703125" customWidth="1"/>
    <col min="3" max="3" width="86.85546875" style="66" bestFit="1" customWidth="1"/>
    <col min="4" max="4" width="4.42578125" style="66" customWidth="1"/>
    <col min="5" max="5" width="60.7109375" bestFit="1" customWidth="1"/>
    <col min="6" max="6" width="31.42578125" customWidth="1"/>
    <col min="7" max="7" width="19.140625" customWidth="1"/>
    <col min="8" max="8" width="70.42578125" customWidth="1"/>
    <col min="9" max="9" width="26.85546875" bestFit="1" customWidth="1"/>
    <col min="10" max="10" width="14.5703125" bestFit="1" customWidth="1"/>
  </cols>
  <sheetData>
    <row r="1" spans="1:10">
      <c r="B1" s="200" t="s">
        <v>11</v>
      </c>
      <c r="C1" s="200"/>
      <c r="D1" s="200"/>
      <c r="E1" s="200"/>
      <c r="F1" s="200"/>
      <c r="G1" s="200"/>
      <c r="H1" s="20">
        <v>508</v>
      </c>
      <c r="I1" s="18" t="s">
        <v>12</v>
      </c>
    </row>
    <row r="2" spans="1:10">
      <c r="B2" s="200" t="s">
        <v>13</v>
      </c>
      <c r="C2" s="200"/>
      <c r="D2" s="200"/>
      <c r="E2" s="200"/>
      <c r="F2" s="200"/>
      <c r="G2" s="200"/>
      <c r="H2" s="20">
        <v>475</v>
      </c>
      <c r="I2" s="18" t="s">
        <v>14</v>
      </c>
    </row>
    <row r="3" spans="1:10">
      <c r="B3" s="201" t="s">
        <v>15</v>
      </c>
      <c r="C3" s="201"/>
      <c r="D3" s="201"/>
      <c r="E3" s="201"/>
      <c r="F3" s="201"/>
      <c r="G3" s="201"/>
      <c r="H3" s="11" t="s">
        <v>16</v>
      </c>
      <c r="I3" s="11"/>
    </row>
    <row r="4" spans="1:10">
      <c r="B4" s="201" t="s">
        <v>17</v>
      </c>
      <c r="C4" s="201"/>
      <c r="D4" s="201"/>
      <c r="E4" s="201"/>
      <c r="F4" s="201"/>
      <c r="G4" s="201"/>
      <c r="H4" s="11"/>
      <c r="I4" s="11"/>
    </row>
    <row r="6" spans="1:10">
      <c r="B6" s="202" t="s">
        <v>18</v>
      </c>
      <c r="C6" s="202"/>
      <c r="D6" s="202"/>
      <c r="E6" s="202"/>
      <c r="F6" s="202"/>
      <c r="G6" s="202"/>
      <c r="H6" s="19"/>
      <c r="I6" s="19"/>
    </row>
    <row r="8" spans="1:10" ht="38.25" customHeight="1">
      <c r="B8" s="1" t="s">
        <v>0</v>
      </c>
      <c r="C8" s="130" t="s">
        <v>1</v>
      </c>
      <c r="D8" s="154" t="s">
        <v>19</v>
      </c>
      <c r="E8" s="151" t="s">
        <v>2</v>
      </c>
      <c r="F8" s="4" t="s">
        <v>3</v>
      </c>
      <c r="G8" s="5" t="s">
        <v>4</v>
      </c>
      <c r="H8" s="5" t="s">
        <v>20</v>
      </c>
      <c r="I8" s="5" t="s">
        <v>21</v>
      </c>
    </row>
    <row r="9" spans="1:10" ht="15.75">
      <c r="A9" s="11">
        <v>1</v>
      </c>
      <c r="B9" s="64" t="s">
        <v>22</v>
      </c>
      <c r="C9" s="195" t="s">
        <v>23</v>
      </c>
      <c r="D9" s="67">
        <v>3</v>
      </c>
      <c r="E9" s="159" t="s">
        <v>24</v>
      </c>
      <c r="F9" s="27">
        <v>6013</v>
      </c>
      <c r="G9" s="44">
        <v>1524</v>
      </c>
      <c r="H9" s="24"/>
      <c r="I9" s="7"/>
      <c r="J9">
        <v>1</v>
      </c>
    </row>
    <row r="10" spans="1:10">
      <c r="A10" s="11">
        <v>2</v>
      </c>
      <c r="B10" s="42" t="s">
        <v>5</v>
      </c>
      <c r="C10" s="195" t="s">
        <v>6</v>
      </c>
      <c r="D10" s="67">
        <v>3</v>
      </c>
      <c r="E10" s="160" t="s">
        <v>24</v>
      </c>
      <c r="F10" s="27">
        <v>6013</v>
      </c>
      <c r="G10" s="44">
        <v>1524</v>
      </c>
      <c r="H10" s="24"/>
      <c r="I10" s="24"/>
      <c r="J10">
        <v>1</v>
      </c>
    </row>
    <row r="11" spans="1:10">
      <c r="A11" s="11">
        <v>3</v>
      </c>
      <c r="B11" s="65" t="s">
        <v>25</v>
      </c>
      <c r="C11" s="156" t="s">
        <v>26</v>
      </c>
      <c r="D11" s="183">
        <v>3</v>
      </c>
      <c r="E11" s="159" t="s">
        <v>27</v>
      </c>
      <c r="F11" s="27">
        <v>6013</v>
      </c>
      <c r="G11" s="44">
        <v>1524</v>
      </c>
      <c r="H11" s="51"/>
      <c r="I11" s="51"/>
      <c r="J11">
        <v>1</v>
      </c>
    </row>
    <row r="12" spans="1:10" ht="18" customHeight="1">
      <c r="A12" s="11">
        <v>4</v>
      </c>
      <c r="B12" s="65"/>
      <c r="C12" s="196" t="s">
        <v>28</v>
      </c>
      <c r="D12" s="155">
        <v>3</v>
      </c>
      <c r="E12" s="159" t="s">
        <v>27</v>
      </c>
      <c r="F12" s="27">
        <v>6013</v>
      </c>
      <c r="G12" s="44">
        <v>1524</v>
      </c>
      <c r="H12" s="51"/>
      <c r="I12" s="51"/>
      <c r="J12">
        <v>1</v>
      </c>
    </row>
    <row r="13" spans="1:10">
      <c r="A13" s="11">
        <v>5</v>
      </c>
      <c r="B13" s="10"/>
      <c r="C13" s="157"/>
      <c r="D13" s="67"/>
      <c r="E13" s="159"/>
      <c r="F13" s="27">
        <v>6013</v>
      </c>
      <c r="G13" s="38"/>
      <c r="H13" s="37"/>
      <c r="I13" s="37"/>
    </row>
    <row r="14" spans="1:10">
      <c r="A14" s="11">
        <v>6</v>
      </c>
      <c r="B14" s="65"/>
      <c r="C14" s="156"/>
      <c r="D14" s="155"/>
      <c r="E14" s="161"/>
      <c r="F14" s="27">
        <v>6013</v>
      </c>
      <c r="G14" s="65"/>
      <c r="H14" s="37"/>
      <c r="I14" s="37"/>
    </row>
    <row r="15" spans="1:10">
      <c r="A15" s="11">
        <v>7</v>
      </c>
      <c r="B15" s="65"/>
      <c r="C15" s="156"/>
      <c r="D15" s="155"/>
      <c r="E15" s="161"/>
      <c r="F15" s="27">
        <v>6013</v>
      </c>
      <c r="G15" s="65"/>
      <c r="H15" s="51"/>
      <c r="I15" s="37"/>
    </row>
    <row r="16" spans="1:10">
      <c r="A16" s="11">
        <v>8</v>
      </c>
      <c r="B16" s="10"/>
      <c r="C16" s="157"/>
      <c r="D16" s="67"/>
      <c r="E16" s="159"/>
      <c r="F16" s="27">
        <v>6013</v>
      </c>
      <c r="G16" s="38"/>
      <c r="H16" s="37"/>
      <c r="I16" s="37"/>
    </row>
    <row r="17" spans="1:10">
      <c r="A17" s="11">
        <v>9</v>
      </c>
      <c r="B17" s="10"/>
      <c r="C17" s="157"/>
      <c r="D17" s="67"/>
      <c r="E17" s="160"/>
      <c r="F17" s="39">
        <v>6013</v>
      </c>
      <c r="G17" s="38"/>
      <c r="H17" s="51"/>
      <c r="I17" s="51"/>
    </row>
    <row r="18" spans="1:10">
      <c r="A18" s="11">
        <v>10</v>
      </c>
      <c r="B18" s="10"/>
      <c r="C18" s="157"/>
      <c r="D18" s="67"/>
      <c r="E18" s="160"/>
      <c r="F18" s="30">
        <v>6013</v>
      </c>
      <c r="G18" s="38"/>
      <c r="H18" s="51"/>
      <c r="I18" s="51"/>
    </row>
    <row r="19" spans="1:10">
      <c r="A19" s="11">
        <v>11</v>
      </c>
      <c r="B19" s="45"/>
      <c r="C19" s="158"/>
      <c r="D19" s="67"/>
      <c r="E19" s="162"/>
      <c r="F19" s="30">
        <v>6013</v>
      </c>
      <c r="G19" s="40"/>
      <c r="H19" s="53"/>
      <c r="I19" s="54"/>
    </row>
    <row r="20" spans="1:10">
      <c r="A20" s="11">
        <v>12</v>
      </c>
      <c r="B20" s="10"/>
      <c r="C20" s="129"/>
      <c r="D20" s="67"/>
      <c r="E20" s="163"/>
      <c r="F20" s="30">
        <v>6013</v>
      </c>
      <c r="G20" s="31"/>
      <c r="H20" s="33"/>
      <c r="I20" s="32"/>
    </row>
    <row r="21" spans="1:10">
      <c r="A21" s="11">
        <v>13</v>
      </c>
      <c r="B21" s="10"/>
      <c r="C21" s="129"/>
      <c r="D21" s="67"/>
      <c r="E21" s="163"/>
      <c r="F21" s="48">
        <v>6013</v>
      </c>
      <c r="G21" s="31"/>
      <c r="H21" s="33"/>
      <c r="I21" s="32"/>
    </row>
    <row r="22" spans="1:10">
      <c r="A22" s="11">
        <v>14</v>
      </c>
      <c r="B22" s="10"/>
      <c r="C22" s="129"/>
      <c r="D22" s="67"/>
      <c r="E22" s="163"/>
      <c r="F22" s="48">
        <v>6013</v>
      </c>
      <c r="G22" s="31"/>
      <c r="H22" s="33"/>
      <c r="I22" s="32"/>
    </row>
    <row r="23" spans="1:10">
      <c r="A23" s="11">
        <v>15</v>
      </c>
      <c r="B23" s="45"/>
      <c r="C23" s="68"/>
      <c r="D23" s="67"/>
      <c r="E23" s="164"/>
      <c r="F23" s="48">
        <v>6013</v>
      </c>
      <c r="G23" s="49"/>
      <c r="H23" s="50"/>
      <c r="I23" s="32"/>
    </row>
    <row r="24" spans="1:10">
      <c r="A24" s="11">
        <v>16</v>
      </c>
      <c r="B24" s="42"/>
      <c r="C24" s="157"/>
      <c r="D24" s="67"/>
      <c r="E24" s="165"/>
      <c r="F24" s="48">
        <v>6013</v>
      </c>
      <c r="G24" s="49"/>
      <c r="H24" s="32"/>
      <c r="I24" s="32"/>
    </row>
    <row r="25" spans="1:10">
      <c r="A25" s="11">
        <v>17</v>
      </c>
      <c r="B25" s="45"/>
      <c r="C25" s="158"/>
      <c r="D25" s="67"/>
      <c r="E25" s="164"/>
      <c r="F25" s="65"/>
      <c r="G25" s="70"/>
      <c r="H25" s="58"/>
      <c r="I25" s="58"/>
    </row>
    <row r="26" spans="1:10">
      <c r="A26" s="11">
        <v>18</v>
      </c>
      <c r="B26" s="28"/>
      <c r="C26" s="129"/>
      <c r="D26" s="67"/>
      <c r="E26" s="166"/>
      <c r="F26" s="65"/>
      <c r="G26" s="71"/>
      <c r="H26" s="32"/>
      <c r="I26" s="32"/>
    </row>
    <row r="27" spans="1:10">
      <c r="B27" s="12"/>
      <c r="C27" s="69"/>
      <c r="D27" s="69"/>
      <c r="E27" s="204"/>
      <c r="F27" s="13"/>
      <c r="G27" s="14"/>
      <c r="H27" s="20"/>
      <c r="I27" s="20"/>
      <c r="J27">
        <f>SUM(J9:J26)</f>
        <v>4</v>
      </c>
    </row>
    <row r="28" spans="1:10">
      <c r="B28" s="202" t="s">
        <v>29</v>
      </c>
      <c r="C28" s="202"/>
      <c r="D28" s="202"/>
      <c r="E28" s="202"/>
      <c r="F28" s="202"/>
      <c r="G28" s="202"/>
      <c r="H28" s="18"/>
      <c r="I28" s="18"/>
    </row>
    <row r="29" spans="1:10" ht="17.25">
      <c r="B29" s="198" t="s">
        <v>30</v>
      </c>
      <c r="C29" s="198"/>
      <c r="D29" s="198"/>
      <c r="E29" s="198"/>
      <c r="F29" s="198"/>
      <c r="G29" s="9">
        <f>SUM(G9:G26)</f>
        <v>6096</v>
      </c>
      <c r="H29" s="21"/>
      <c r="I29" s="21"/>
    </row>
    <row r="30" spans="1:10">
      <c r="B30" s="15"/>
      <c r="C30" s="15"/>
      <c r="D30" s="15"/>
      <c r="E30" s="15"/>
      <c r="F30" s="16" t="s">
        <v>31</v>
      </c>
      <c r="G30" s="17">
        <f>87660-G29</f>
        <v>81564</v>
      </c>
      <c r="H30" s="22"/>
      <c r="I30" s="22"/>
    </row>
    <row r="31" spans="1:10" ht="6" customHeight="1"/>
    <row r="32" spans="1:10">
      <c r="B32" s="199" t="s">
        <v>32</v>
      </c>
      <c r="C32" s="199"/>
      <c r="D32" s="199"/>
      <c r="E32" s="199"/>
      <c r="F32" s="199"/>
      <c r="G32" s="199"/>
      <c r="H32" s="15"/>
      <c r="I32" s="62"/>
    </row>
    <row r="33" spans="1:11" ht="3.75" customHeight="1"/>
    <row r="34" spans="1:11" ht="30">
      <c r="B34" s="1" t="s">
        <v>0</v>
      </c>
      <c r="C34" s="130" t="s">
        <v>1</v>
      </c>
      <c r="D34" s="154" t="s">
        <v>19</v>
      </c>
      <c r="E34" s="151" t="s">
        <v>2</v>
      </c>
      <c r="F34" s="4" t="s">
        <v>3</v>
      </c>
      <c r="G34" s="115" t="s">
        <v>4</v>
      </c>
      <c r="H34" s="128" t="s">
        <v>33</v>
      </c>
      <c r="I34" s="128" t="s">
        <v>34</v>
      </c>
      <c r="J34" s="128" t="s">
        <v>35</v>
      </c>
    </row>
    <row r="35" spans="1:11" ht="45">
      <c r="A35">
        <v>3</v>
      </c>
      <c r="B35" s="63" t="s">
        <v>8</v>
      </c>
      <c r="C35" s="131" t="s">
        <v>9</v>
      </c>
      <c r="D35" s="67">
        <v>3</v>
      </c>
      <c r="E35" s="205" t="s">
        <v>36</v>
      </c>
      <c r="F35" s="48">
        <v>6013</v>
      </c>
      <c r="G35" s="116">
        <v>0</v>
      </c>
      <c r="H35" s="127" t="s">
        <v>37</v>
      </c>
      <c r="I35" s="31"/>
      <c r="J35" s="114"/>
    </row>
    <row r="36" spans="1:11" ht="15.75">
      <c r="A36">
        <v>3</v>
      </c>
      <c r="B36" s="72" t="s">
        <v>22</v>
      </c>
      <c r="C36" s="132" t="s">
        <v>23</v>
      </c>
      <c r="D36" s="167">
        <v>3</v>
      </c>
      <c r="E36" s="152" t="s">
        <v>27</v>
      </c>
      <c r="F36" s="73">
        <v>6013</v>
      </c>
      <c r="G36" s="116">
        <f t="shared" ref="G36:G50" si="0">$H$1*A36</f>
        <v>1524</v>
      </c>
      <c r="H36" s="31" t="s">
        <v>38</v>
      </c>
      <c r="I36" s="31"/>
      <c r="J36" s="114"/>
    </row>
    <row r="37" spans="1:11" ht="15.75">
      <c r="A37">
        <v>2</v>
      </c>
      <c r="B37" s="72" t="s">
        <v>22</v>
      </c>
      <c r="C37" s="133" t="s">
        <v>39</v>
      </c>
      <c r="D37" s="168">
        <v>2</v>
      </c>
      <c r="E37" s="153" t="s">
        <v>40</v>
      </c>
      <c r="F37" s="73">
        <v>6013</v>
      </c>
      <c r="G37" s="116">
        <f t="shared" si="0"/>
        <v>1016</v>
      </c>
      <c r="H37" s="31" t="s">
        <v>38</v>
      </c>
      <c r="I37" s="31" t="s">
        <v>41</v>
      </c>
      <c r="J37" s="114" t="s">
        <v>42</v>
      </c>
    </row>
    <row r="38" spans="1:11" ht="15.75">
      <c r="A38">
        <v>2</v>
      </c>
      <c r="B38" s="72" t="s">
        <v>22</v>
      </c>
      <c r="C38" s="133" t="s">
        <v>43</v>
      </c>
      <c r="D38" s="168">
        <v>2</v>
      </c>
      <c r="E38" s="153" t="s">
        <v>40</v>
      </c>
      <c r="F38" s="73">
        <v>6013</v>
      </c>
      <c r="G38" s="116">
        <f t="shared" si="0"/>
        <v>1016</v>
      </c>
      <c r="H38" s="31" t="s">
        <v>38</v>
      </c>
      <c r="I38" s="31" t="s">
        <v>41</v>
      </c>
      <c r="J38" s="114" t="s">
        <v>42</v>
      </c>
    </row>
    <row r="39" spans="1:11" ht="15.75">
      <c r="A39">
        <v>2</v>
      </c>
      <c r="B39" s="72" t="s">
        <v>22</v>
      </c>
      <c r="C39" s="133" t="s">
        <v>44</v>
      </c>
      <c r="D39" s="168">
        <v>2</v>
      </c>
      <c r="E39" s="153" t="s">
        <v>40</v>
      </c>
      <c r="F39" s="73">
        <v>6013</v>
      </c>
      <c r="G39" s="116">
        <f t="shared" si="0"/>
        <v>1016</v>
      </c>
      <c r="H39" s="31" t="s">
        <v>38</v>
      </c>
      <c r="I39" s="31" t="s">
        <v>41</v>
      </c>
      <c r="J39" s="114" t="s">
        <v>42</v>
      </c>
    </row>
    <row r="40" spans="1:11" ht="15.75">
      <c r="A40">
        <v>2</v>
      </c>
      <c r="B40" s="72" t="s">
        <v>22</v>
      </c>
      <c r="C40" s="133" t="s">
        <v>45</v>
      </c>
      <c r="D40" s="168">
        <v>2</v>
      </c>
      <c r="E40" s="153" t="s">
        <v>40</v>
      </c>
      <c r="F40" s="73">
        <v>6013</v>
      </c>
      <c r="G40" s="116">
        <f t="shared" si="0"/>
        <v>1016</v>
      </c>
      <c r="H40" s="31" t="s">
        <v>46</v>
      </c>
      <c r="I40" s="31" t="s">
        <v>41</v>
      </c>
      <c r="J40" s="114" t="s">
        <v>42</v>
      </c>
    </row>
    <row r="41" spans="1:11" ht="15.75">
      <c r="B41" s="72" t="s">
        <v>22</v>
      </c>
      <c r="C41" s="133" t="s">
        <v>47</v>
      </c>
      <c r="D41" s="168">
        <v>3</v>
      </c>
      <c r="E41" s="153" t="s">
        <v>40</v>
      </c>
      <c r="F41" s="73">
        <v>6013</v>
      </c>
      <c r="G41" s="116">
        <v>1524</v>
      </c>
      <c r="H41" s="31" t="s">
        <v>46</v>
      </c>
      <c r="I41" s="31" t="s">
        <v>41</v>
      </c>
      <c r="J41" s="114" t="s">
        <v>42</v>
      </c>
    </row>
    <row r="42" spans="1:11" ht="15.75">
      <c r="A42">
        <v>3</v>
      </c>
      <c r="B42" s="72" t="s">
        <v>48</v>
      </c>
      <c r="C42" s="133" t="s">
        <v>49</v>
      </c>
      <c r="D42" s="168">
        <v>3</v>
      </c>
      <c r="E42" s="153" t="s">
        <v>40</v>
      </c>
      <c r="F42" s="73">
        <v>6013</v>
      </c>
      <c r="G42" s="116">
        <f t="shared" si="0"/>
        <v>1524</v>
      </c>
      <c r="H42" s="31" t="s">
        <v>38</v>
      </c>
      <c r="I42" s="31" t="s">
        <v>41</v>
      </c>
      <c r="J42" s="114" t="s">
        <v>42</v>
      </c>
      <c r="K42">
        <v>1</v>
      </c>
    </row>
    <row r="43" spans="1:11" ht="15.75">
      <c r="A43">
        <v>1</v>
      </c>
      <c r="B43" s="74" t="s">
        <v>50</v>
      </c>
      <c r="C43" s="133" t="s">
        <v>51</v>
      </c>
      <c r="D43" s="168">
        <v>1</v>
      </c>
      <c r="E43" s="153" t="s">
        <v>40</v>
      </c>
      <c r="F43" s="73">
        <v>6013</v>
      </c>
      <c r="G43" s="116">
        <f t="shared" si="0"/>
        <v>508</v>
      </c>
      <c r="H43" s="31" t="s">
        <v>52</v>
      </c>
      <c r="I43" s="31" t="s">
        <v>41</v>
      </c>
      <c r="J43" s="114" t="s">
        <v>42</v>
      </c>
      <c r="K43">
        <v>1</v>
      </c>
    </row>
    <row r="44" spans="1:11" ht="15.75">
      <c r="A44">
        <v>1</v>
      </c>
      <c r="B44" s="74" t="s">
        <v>50</v>
      </c>
      <c r="C44" s="133" t="s">
        <v>53</v>
      </c>
      <c r="D44" s="168">
        <v>1</v>
      </c>
      <c r="E44" s="153" t="s">
        <v>40</v>
      </c>
      <c r="F44" s="73">
        <v>6013</v>
      </c>
      <c r="G44" s="116">
        <f t="shared" si="0"/>
        <v>508</v>
      </c>
      <c r="H44" s="31" t="s">
        <v>54</v>
      </c>
      <c r="I44" s="31" t="s">
        <v>41</v>
      </c>
      <c r="J44" s="114" t="s">
        <v>42</v>
      </c>
      <c r="K44">
        <v>1</v>
      </c>
    </row>
    <row r="45" spans="1:11" ht="15.75">
      <c r="A45">
        <v>3</v>
      </c>
      <c r="B45" s="74" t="s">
        <v>50</v>
      </c>
      <c r="C45" s="75" t="s">
        <v>55</v>
      </c>
      <c r="D45" s="168">
        <v>3</v>
      </c>
      <c r="E45" s="153" t="s">
        <v>40</v>
      </c>
      <c r="F45" s="73">
        <v>6013</v>
      </c>
      <c r="G45" s="116">
        <f t="shared" si="0"/>
        <v>1524</v>
      </c>
      <c r="H45" s="31" t="s">
        <v>46</v>
      </c>
      <c r="I45" s="31"/>
      <c r="J45" s="114"/>
    </row>
    <row r="46" spans="1:11" ht="15.75">
      <c r="A46">
        <v>3</v>
      </c>
      <c r="B46" s="72" t="s">
        <v>56</v>
      </c>
      <c r="C46" s="133" t="s">
        <v>57</v>
      </c>
      <c r="D46" s="168">
        <v>3</v>
      </c>
      <c r="E46" s="153" t="s">
        <v>40</v>
      </c>
      <c r="F46" s="73">
        <v>6013</v>
      </c>
      <c r="G46" s="116">
        <f t="shared" si="0"/>
        <v>1524</v>
      </c>
      <c r="H46" s="31" t="s">
        <v>46</v>
      </c>
      <c r="I46" s="31" t="s">
        <v>41</v>
      </c>
      <c r="J46" s="114" t="s">
        <v>42</v>
      </c>
      <c r="K46">
        <v>1</v>
      </c>
    </row>
    <row r="47" spans="1:11" ht="15.75">
      <c r="A47">
        <v>3</v>
      </c>
      <c r="B47" s="76"/>
      <c r="C47" s="133" t="s">
        <v>58</v>
      </c>
      <c r="D47" s="168">
        <v>3</v>
      </c>
      <c r="E47" s="153" t="s">
        <v>40</v>
      </c>
      <c r="F47" s="73">
        <v>6013</v>
      </c>
      <c r="G47" s="116">
        <f t="shared" si="0"/>
        <v>1524</v>
      </c>
      <c r="H47" s="31" t="s">
        <v>38</v>
      </c>
      <c r="I47" s="31"/>
      <c r="J47" s="114"/>
    </row>
    <row r="48" spans="1:11" ht="15.75">
      <c r="A48">
        <v>3</v>
      </c>
      <c r="B48" s="77" t="s">
        <v>59</v>
      </c>
      <c r="C48" s="133" t="s">
        <v>60</v>
      </c>
      <c r="D48" s="168">
        <v>3</v>
      </c>
      <c r="E48" s="153" t="s">
        <v>61</v>
      </c>
      <c r="F48" s="73">
        <v>6013</v>
      </c>
      <c r="G48" s="116">
        <f t="shared" si="0"/>
        <v>1524</v>
      </c>
      <c r="H48" s="31" t="s">
        <v>46</v>
      </c>
      <c r="I48" s="31" t="s">
        <v>41</v>
      </c>
      <c r="J48" s="114" t="s">
        <v>42</v>
      </c>
      <c r="K48">
        <v>1</v>
      </c>
    </row>
    <row r="49" spans="1:11" ht="15.75">
      <c r="A49">
        <v>3</v>
      </c>
      <c r="B49" s="72" t="s">
        <v>62</v>
      </c>
      <c r="C49" s="133" t="s">
        <v>63</v>
      </c>
      <c r="D49" s="168">
        <v>3</v>
      </c>
      <c r="E49" s="153" t="s">
        <v>61</v>
      </c>
      <c r="F49" s="73">
        <v>6013</v>
      </c>
      <c r="G49" s="116">
        <f t="shared" si="0"/>
        <v>1524</v>
      </c>
      <c r="H49" s="31" t="s">
        <v>64</v>
      </c>
      <c r="I49" s="31"/>
      <c r="J49" s="114"/>
    </row>
    <row r="50" spans="1:11" ht="15.75">
      <c r="A50">
        <v>1</v>
      </c>
      <c r="B50" s="72" t="s">
        <v>62</v>
      </c>
      <c r="C50" s="133" t="s">
        <v>65</v>
      </c>
      <c r="D50" s="168">
        <v>1</v>
      </c>
      <c r="E50" s="153" t="s">
        <v>61</v>
      </c>
      <c r="F50" s="73">
        <v>6013</v>
      </c>
      <c r="G50" s="116">
        <f t="shared" si="0"/>
        <v>508</v>
      </c>
      <c r="H50" s="31" t="s">
        <v>64</v>
      </c>
      <c r="I50" s="31" t="s">
        <v>41</v>
      </c>
      <c r="J50" s="114" t="s">
        <v>42</v>
      </c>
      <c r="K50">
        <v>1</v>
      </c>
    </row>
    <row r="51" spans="1:11" ht="30">
      <c r="A51">
        <v>3</v>
      </c>
      <c r="B51" s="74"/>
      <c r="C51" s="133" t="s">
        <v>66</v>
      </c>
      <c r="D51" s="168">
        <v>3</v>
      </c>
      <c r="E51" s="153" t="s">
        <v>67</v>
      </c>
      <c r="F51" s="73">
        <v>6013</v>
      </c>
      <c r="G51" s="116">
        <v>0</v>
      </c>
      <c r="H51" s="31" t="s">
        <v>64</v>
      </c>
      <c r="I51" s="31"/>
      <c r="J51" s="114"/>
    </row>
    <row r="52" spans="1:11" ht="30">
      <c r="A52">
        <v>3</v>
      </c>
      <c r="B52" s="72" t="s">
        <v>68</v>
      </c>
      <c r="C52" s="133" t="s">
        <v>69</v>
      </c>
      <c r="D52" s="168">
        <v>3</v>
      </c>
      <c r="E52" s="153" t="s">
        <v>67</v>
      </c>
      <c r="F52" s="73">
        <v>6013</v>
      </c>
      <c r="G52" s="117">
        <f>A52*$H$2</f>
        <v>1425</v>
      </c>
      <c r="H52" s="31" t="s">
        <v>70</v>
      </c>
      <c r="I52" s="31"/>
      <c r="J52" s="114"/>
    </row>
    <row r="53" spans="1:11">
      <c r="A53">
        <v>3</v>
      </c>
      <c r="B53" s="78" t="s">
        <v>71</v>
      </c>
      <c r="C53" s="134" t="s">
        <v>72</v>
      </c>
      <c r="D53" s="169">
        <v>3</v>
      </c>
      <c r="E53" s="206" t="s">
        <v>73</v>
      </c>
      <c r="F53" s="79">
        <v>6013</v>
      </c>
      <c r="G53" s="118">
        <f t="shared" ref="G53:G62" si="1">$H$1*A53</f>
        <v>1524</v>
      </c>
      <c r="H53" s="31" t="s">
        <v>74</v>
      </c>
      <c r="I53" s="31"/>
      <c r="J53" s="114"/>
    </row>
    <row r="54" spans="1:11" ht="30">
      <c r="B54" s="78" t="s">
        <v>71</v>
      </c>
      <c r="C54" s="135" t="s">
        <v>75</v>
      </c>
      <c r="D54" s="170"/>
      <c r="E54" s="109" t="s">
        <v>76</v>
      </c>
      <c r="F54" s="79">
        <v>6013</v>
      </c>
      <c r="G54" s="118">
        <f t="shared" si="1"/>
        <v>0</v>
      </c>
      <c r="H54" s="31" t="s">
        <v>74</v>
      </c>
      <c r="I54" s="31" t="s">
        <v>77</v>
      </c>
      <c r="J54" s="114" t="s">
        <v>42</v>
      </c>
      <c r="K54">
        <v>1</v>
      </c>
    </row>
    <row r="55" spans="1:11">
      <c r="A55">
        <v>3</v>
      </c>
      <c r="B55" s="78" t="s">
        <v>78</v>
      </c>
      <c r="C55" s="136" t="s">
        <v>28</v>
      </c>
      <c r="D55" s="171">
        <v>3</v>
      </c>
      <c r="E55" s="206" t="s">
        <v>73</v>
      </c>
      <c r="F55" s="79">
        <v>6013</v>
      </c>
      <c r="G55" s="118"/>
      <c r="H55" s="31" t="s">
        <v>74</v>
      </c>
      <c r="I55" s="31"/>
      <c r="J55" s="114"/>
    </row>
    <row r="56" spans="1:11">
      <c r="A56">
        <v>3</v>
      </c>
      <c r="B56" s="78"/>
      <c r="C56" s="136" t="s">
        <v>79</v>
      </c>
      <c r="D56" s="171">
        <v>3</v>
      </c>
      <c r="E56" s="206"/>
      <c r="F56" s="79">
        <v>6013</v>
      </c>
      <c r="G56" s="118">
        <f t="shared" si="1"/>
        <v>1524</v>
      </c>
      <c r="H56" s="31" t="s">
        <v>74</v>
      </c>
      <c r="I56" s="31"/>
      <c r="J56" s="114"/>
    </row>
    <row r="57" spans="1:11">
      <c r="A57">
        <v>3</v>
      </c>
      <c r="B57" s="78"/>
      <c r="C57" s="136" t="s">
        <v>80</v>
      </c>
      <c r="D57" s="171">
        <v>3</v>
      </c>
      <c r="E57" s="206"/>
      <c r="F57" s="79">
        <v>6013</v>
      </c>
      <c r="G57" s="118">
        <f t="shared" si="1"/>
        <v>1524</v>
      </c>
      <c r="H57" s="31" t="s">
        <v>74</v>
      </c>
      <c r="I57" s="31"/>
      <c r="J57" s="114"/>
    </row>
    <row r="58" spans="1:11">
      <c r="A58">
        <v>3</v>
      </c>
      <c r="B58" s="78" t="s">
        <v>81</v>
      </c>
      <c r="C58" s="136" t="s">
        <v>82</v>
      </c>
      <c r="D58" s="171">
        <v>3</v>
      </c>
      <c r="E58" s="206"/>
      <c r="F58" s="79">
        <v>6013</v>
      </c>
      <c r="G58" s="118">
        <f t="shared" si="1"/>
        <v>1524</v>
      </c>
      <c r="H58" s="31" t="s">
        <v>74</v>
      </c>
      <c r="I58" s="31" t="s">
        <v>77</v>
      </c>
      <c r="J58" s="114" t="s">
        <v>42</v>
      </c>
      <c r="K58">
        <v>1</v>
      </c>
    </row>
    <row r="59" spans="1:11">
      <c r="A59">
        <v>3</v>
      </c>
      <c r="B59" s="78"/>
      <c r="C59" s="136" t="s">
        <v>83</v>
      </c>
      <c r="D59" s="171">
        <v>3</v>
      </c>
      <c r="E59" s="105" t="s">
        <v>84</v>
      </c>
      <c r="F59" s="79">
        <v>6013</v>
      </c>
      <c r="G59" s="118">
        <f t="shared" si="1"/>
        <v>1524</v>
      </c>
      <c r="H59" s="31" t="s">
        <v>74</v>
      </c>
      <c r="I59" s="31"/>
      <c r="J59" s="114"/>
    </row>
    <row r="60" spans="1:11">
      <c r="A60">
        <v>3</v>
      </c>
      <c r="B60" s="78"/>
      <c r="C60" s="136" t="s">
        <v>85</v>
      </c>
      <c r="D60" s="171">
        <v>3</v>
      </c>
      <c r="E60" s="105" t="s">
        <v>84</v>
      </c>
      <c r="F60" s="79">
        <v>6013</v>
      </c>
      <c r="G60" s="118">
        <f t="shared" si="1"/>
        <v>1524</v>
      </c>
      <c r="H60" s="31" t="s">
        <v>74</v>
      </c>
      <c r="I60" s="31"/>
      <c r="J60" s="114"/>
    </row>
    <row r="61" spans="1:11">
      <c r="A61">
        <v>3</v>
      </c>
      <c r="B61" s="78"/>
      <c r="C61" s="136" t="s">
        <v>86</v>
      </c>
      <c r="D61" s="171">
        <v>3</v>
      </c>
      <c r="E61" s="105" t="s">
        <v>87</v>
      </c>
      <c r="F61" s="79">
        <v>6013</v>
      </c>
      <c r="G61" s="118">
        <f t="shared" si="1"/>
        <v>1524</v>
      </c>
      <c r="H61" s="31" t="s">
        <v>74</v>
      </c>
      <c r="I61" s="31"/>
      <c r="J61" s="114"/>
    </row>
    <row r="62" spans="1:11">
      <c r="A62">
        <v>3</v>
      </c>
      <c r="B62" s="78"/>
      <c r="C62" s="136" t="s">
        <v>88</v>
      </c>
      <c r="D62" s="171">
        <v>3</v>
      </c>
      <c r="E62" s="105" t="s">
        <v>84</v>
      </c>
      <c r="F62" s="79">
        <v>6013</v>
      </c>
      <c r="G62" s="118">
        <f t="shared" si="1"/>
        <v>1524</v>
      </c>
      <c r="H62" s="31" t="s">
        <v>74</v>
      </c>
      <c r="I62" s="31"/>
      <c r="J62" s="114"/>
    </row>
    <row r="63" spans="1:11">
      <c r="B63" s="78" t="s">
        <v>89</v>
      </c>
      <c r="C63" s="136" t="s">
        <v>26</v>
      </c>
      <c r="D63" s="171">
        <v>3</v>
      </c>
      <c r="E63" s="105"/>
      <c r="F63" s="79"/>
      <c r="G63" s="118">
        <v>1524</v>
      </c>
      <c r="H63" s="31" t="s">
        <v>74</v>
      </c>
      <c r="I63" s="31" t="s">
        <v>77</v>
      </c>
      <c r="J63" s="114" t="s">
        <v>42</v>
      </c>
      <c r="K63">
        <v>1</v>
      </c>
    </row>
    <row r="64" spans="1:11" ht="15.75">
      <c r="A64">
        <v>3</v>
      </c>
      <c r="B64" s="80" t="s">
        <v>90</v>
      </c>
      <c r="C64" s="137" t="s">
        <v>91</v>
      </c>
      <c r="D64" s="172">
        <v>3</v>
      </c>
      <c r="E64" s="207"/>
      <c r="F64" s="82">
        <v>6013</v>
      </c>
      <c r="G64" s="119">
        <f t="shared" ref="G64:G86" si="2">$H$1*A64</f>
        <v>1524</v>
      </c>
      <c r="H64" s="31" t="s">
        <v>92</v>
      </c>
      <c r="I64" s="31" t="s">
        <v>77</v>
      </c>
      <c r="J64" s="114" t="s">
        <v>42</v>
      </c>
      <c r="K64">
        <v>1</v>
      </c>
    </row>
    <row r="65" spans="1:11" ht="15.75">
      <c r="A65">
        <v>3</v>
      </c>
      <c r="B65" s="80" t="s">
        <v>93</v>
      </c>
      <c r="C65" s="137" t="s">
        <v>94</v>
      </c>
      <c r="D65" s="172">
        <v>3</v>
      </c>
      <c r="E65" s="207" t="s">
        <v>73</v>
      </c>
      <c r="F65" s="82">
        <v>6013</v>
      </c>
      <c r="G65" s="119">
        <f t="shared" si="2"/>
        <v>1524</v>
      </c>
      <c r="H65" s="31" t="s">
        <v>92</v>
      </c>
      <c r="I65" s="31"/>
      <c r="J65" s="114"/>
    </row>
    <row r="66" spans="1:11" ht="15.75">
      <c r="A66">
        <v>3</v>
      </c>
      <c r="B66" s="80"/>
      <c r="C66" s="137" t="s">
        <v>95</v>
      </c>
      <c r="D66" s="172">
        <v>3</v>
      </c>
      <c r="E66" s="207"/>
      <c r="F66" s="83">
        <v>6013</v>
      </c>
      <c r="G66" s="119">
        <f t="shared" si="2"/>
        <v>1524</v>
      </c>
      <c r="H66" s="31" t="s">
        <v>92</v>
      </c>
      <c r="I66" s="31"/>
      <c r="J66" s="114"/>
    </row>
    <row r="67" spans="1:11" ht="45.75" customHeight="1">
      <c r="A67">
        <v>3</v>
      </c>
      <c r="B67" s="81" t="s">
        <v>96</v>
      </c>
      <c r="C67" s="138" t="s">
        <v>97</v>
      </c>
      <c r="D67" s="173">
        <v>3</v>
      </c>
      <c r="E67" s="207"/>
      <c r="F67" s="83"/>
      <c r="G67" s="120">
        <f t="shared" si="2"/>
        <v>1524</v>
      </c>
      <c r="H67" s="31" t="s">
        <v>98</v>
      </c>
      <c r="I67" s="31"/>
      <c r="J67" s="114"/>
    </row>
    <row r="68" spans="1:11" ht="15.75">
      <c r="A68">
        <v>3</v>
      </c>
      <c r="B68" s="81" t="s">
        <v>96</v>
      </c>
      <c r="C68" s="139" t="s">
        <v>99</v>
      </c>
      <c r="D68" s="174">
        <v>3</v>
      </c>
      <c r="E68" s="207"/>
      <c r="F68" s="83"/>
      <c r="G68" s="120">
        <f t="shared" si="2"/>
        <v>1524</v>
      </c>
      <c r="H68" s="31" t="s">
        <v>98</v>
      </c>
      <c r="I68" s="31"/>
      <c r="J68" s="114"/>
    </row>
    <row r="69" spans="1:11" ht="15.75">
      <c r="A69">
        <v>3</v>
      </c>
      <c r="B69" s="91" t="s">
        <v>100</v>
      </c>
      <c r="C69" s="140" t="s">
        <v>101</v>
      </c>
      <c r="D69" s="175">
        <v>3</v>
      </c>
      <c r="E69" s="208"/>
      <c r="F69" s="85"/>
      <c r="G69" s="121">
        <f t="shared" si="2"/>
        <v>1524</v>
      </c>
      <c r="H69" s="31" t="s">
        <v>102</v>
      </c>
      <c r="I69" s="31" t="s">
        <v>77</v>
      </c>
      <c r="J69" s="114" t="s">
        <v>42</v>
      </c>
      <c r="K69">
        <v>1</v>
      </c>
    </row>
    <row r="70" spans="1:11" ht="15.75">
      <c r="A70">
        <v>3</v>
      </c>
      <c r="B70" s="92" t="s">
        <v>103</v>
      </c>
      <c r="C70" s="188" t="s">
        <v>104</v>
      </c>
      <c r="D70" s="175">
        <v>3</v>
      </c>
      <c r="E70" s="208"/>
      <c r="F70" s="85"/>
      <c r="G70" s="121">
        <f t="shared" si="2"/>
        <v>1524</v>
      </c>
      <c r="H70" s="31" t="s">
        <v>102</v>
      </c>
      <c r="I70" s="31"/>
      <c r="J70" s="114"/>
    </row>
    <row r="71" spans="1:11">
      <c r="A71">
        <v>3</v>
      </c>
      <c r="B71" s="93" t="s">
        <v>105</v>
      </c>
      <c r="C71" s="141" t="s">
        <v>106</v>
      </c>
      <c r="D71" s="176">
        <v>3</v>
      </c>
      <c r="E71" s="208"/>
      <c r="F71" s="85"/>
      <c r="G71" s="121">
        <f t="shared" si="2"/>
        <v>1524</v>
      </c>
      <c r="H71" s="31" t="s">
        <v>102</v>
      </c>
      <c r="I71" s="31"/>
      <c r="J71" s="114"/>
    </row>
    <row r="72" spans="1:11" ht="15.75">
      <c r="A72">
        <v>3</v>
      </c>
      <c r="B72" s="94" t="s">
        <v>107</v>
      </c>
      <c r="C72" s="140" t="s">
        <v>108</v>
      </c>
      <c r="D72" s="175">
        <v>3</v>
      </c>
      <c r="E72" s="208"/>
      <c r="F72" s="85"/>
      <c r="G72" s="121">
        <f t="shared" si="2"/>
        <v>1524</v>
      </c>
      <c r="H72" s="31" t="s">
        <v>102</v>
      </c>
      <c r="I72" s="31"/>
      <c r="J72" s="114"/>
    </row>
    <row r="73" spans="1:11" ht="15.75">
      <c r="A73">
        <v>3</v>
      </c>
      <c r="B73" s="95" t="s">
        <v>109</v>
      </c>
      <c r="C73" s="140" t="s">
        <v>110</v>
      </c>
      <c r="D73" s="175">
        <v>3</v>
      </c>
      <c r="E73" s="208"/>
      <c r="F73" s="85"/>
      <c r="G73" s="121">
        <f t="shared" si="2"/>
        <v>1524</v>
      </c>
      <c r="H73" s="31" t="s">
        <v>102</v>
      </c>
      <c r="I73" s="31"/>
      <c r="J73" s="114"/>
    </row>
    <row r="74" spans="1:11">
      <c r="A74">
        <v>3</v>
      </c>
      <c r="B74" s="96" t="s">
        <v>111</v>
      </c>
      <c r="C74" s="140" t="s">
        <v>112</v>
      </c>
      <c r="D74" s="175">
        <v>3</v>
      </c>
      <c r="E74" s="208"/>
      <c r="F74" s="85"/>
      <c r="G74" s="121">
        <f t="shared" si="2"/>
        <v>1524</v>
      </c>
      <c r="H74" s="31" t="s">
        <v>102</v>
      </c>
      <c r="I74" s="31"/>
      <c r="J74" s="114"/>
    </row>
    <row r="75" spans="1:11" ht="15.75">
      <c r="A75">
        <v>3</v>
      </c>
      <c r="B75" s="94" t="s">
        <v>113</v>
      </c>
      <c r="C75" s="140" t="s">
        <v>114</v>
      </c>
      <c r="D75" s="175">
        <v>3</v>
      </c>
      <c r="E75" s="208"/>
      <c r="F75" s="85"/>
      <c r="G75" s="121">
        <f t="shared" si="2"/>
        <v>1524</v>
      </c>
      <c r="H75" s="31" t="s">
        <v>102</v>
      </c>
      <c r="I75" s="31"/>
      <c r="J75" s="114"/>
    </row>
    <row r="76" spans="1:11" ht="15.75">
      <c r="A76">
        <v>3</v>
      </c>
      <c r="B76" s="94" t="s">
        <v>113</v>
      </c>
      <c r="C76" s="141" t="s">
        <v>115</v>
      </c>
      <c r="D76" s="176">
        <v>3</v>
      </c>
      <c r="E76" s="208"/>
      <c r="F76" s="85"/>
      <c r="G76" s="121">
        <f t="shared" si="2"/>
        <v>1524</v>
      </c>
      <c r="H76" s="31" t="s">
        <v>102</v>
      </c>
      <c r="I76" s="31"/>
      <c r="J76" s="114"/>
    </row>
    <row r="77" spans="1:11" ht="15.75">
      <c r="A77">
        <v>3</v>
      </c>
      <c r="B77" s="97" t="s">
        <v>116</v>
      </c>
      <c r="C77" s="140" t="s">
        <v>117</v>
      </c>
      <c r="D77" s="175">
        <v>3</v>
      </c>
      <c r="E77" s="208"/>
      <c r="F77" s="85"/>
      <c r="G77" s="121">
        <f t="shared" si="2"/>
        <v>1524</v>
      </c>
      <c r="H77" s="31" t="s">
        <v>102</v>
      </c>
      <c r="I77" s="31" t="s">
        <v>77</v>
      </c>
      <c r="J77" s="114" t="s">
        <v>42</v>
      </c>
      <c r="K77">
        <v>1</v>
      </c>
    </row>
    <row r="78" spans="1:11">
      <c r="A78">
        <v>3</v>
      </c>
      <c r="B78" s="84"/>
      <c r="C78" s="141" t="s">
        <v>118</v>
      </c>
      <c r="D78" s="176">
        <v>3</v>
      </c>
      <c r="E78" s="208"/>
      <c r="F78" s="85"/>
      <c r="G78" s="121">
        <f t="shared" si="2"/>
        <v>1524</v>
      </c>
      <c r="H78" s="31" t="s">
        <v>102</v>
      </c>
      <c r="I78" s="31"/>
      <c r="J78" s="114"/>
    </row>
    <row r="79" spans="1:11" ht="15.75">
      <c r="A79">
        <v>3</v>
      </c>
      <c r="B79" s="98" t="s">
        <v>119</v>
      </c>
      <c r="C79" s="142" t="s">
        <v>120</v>
      </c>
      <c r="D79" s="177">
        <v>3</v>
      </c>
      <c r="E79" s="208"/>
      <c r="F79" s="85"/>
      <c r="G79" s="121">
        <f t="shared" si="2"/>
        <v>1524</v>
      </c>
      <c r="H79" s="31" t="s">
        <v>102</v>
      </c>
      <c r="I79" s="31"/>
      <c r="J79" s="114"/>
    </row>
    <row r="80" spans="1:11" ht="15.75">
      <c r="A80">
        <v>3</v>
      </c>
      <c r="B80" s="94" t="s">
        <v>113</v>
      </c>
      <c r="C80" s="142" t="s">
        <v>121</v>
      </c>
      <c r="D80" s="177">
        <v>3</v>
      </c>
      <c r="E80" s="208"/>
      <c r="F80" s="85"/>
      <c r="G80" s="121">
        <f t="shared" si="2"/>
        <v>1524</v>
      </c>
      <c r="H80" s="31" t="s">
        <v>102</v>
      </c>
      <c r="I80" s="31"/>
      <c r="J80" s="114"/>
    </row>
    <row r="81" spans="1:11" ht="15.75">
      <c r="A81">
        <v>3</v>
      </c>
      <c r="B81" s="99" t="s">
        <v>111</v>
      </c>
      <c r="C81" s="142" t="s">
        <v>122</v>
      </c>
      <c r="D81" s="177">
        <v>3</v>
      </c>
      <c r="E81" s="208"/>
      <c r="F81" s="85"/>
      <c r="G81" s="121">
        <f t="shared" si="2"/>
        <v>1524</v>
      </c>
      <c r="H81" s="31" t="s">
        <v>102</v>
      </c>
      <c r="I81" s="31"/>
      <c r="J81" s="114"/>
    </row>
    <row r="82" spans="1:11" ht="15.75">
      <c r="A82">
        <v>3</v>
      </c>
      <c r="B82" s="91" t="s">
        <v>100</v>
      </c>
      <c r="C82" s="142" t="s">
        <v>123</v>
      </c>
      <c r="D82" s="177">
        <v>3</v>
      </c>
      <c r="E82" s="208"/>
      <c r="F82" s="85"/>
      <c r="G82" s="121">
        <f t="shared" si="2"/>
        <v>1524</v>
      </c>
      <c r="H82" s="31" t="s">
        <v>102</v>
      </c>
      <c r="I82" s="31" t="s">
        <v>77</v>
      </c>
      <c r="J82" s="114" t="s">
        <v>42</v>
      </c>
      <c r="K82">
        <v>1</v>
      </c>
    </row>
    <row r="83" spans="1:11" ht="15.75">
      <c r="A83">
        <v>3</v>
      </c>
      <c r="B83" s="100" t="s">
        <v>124</v>
      </c>
      <c r="C83" s="142" t="s">
        <v>125</v>
      </c>
      <c r="D83" s="177">
        <v>3</v>
      </c>
      <c r="E83" s="208"/>
      <c r="F83" s="85"/>
      <c r="G83" s="121">
        <f t="shared" si="2"/>
        <v>1524</v>
      </c>
      <c r="H83" s="31" t="s">
        <v>102</v>
      </c>
      <c r="I83" s="31"/>
      <c r="J83" s="114"/>
    </row>
    <row r="84" spans="1:11" ht="15.75">
      <c r="A84">
        <v>3</v>
      </c>
      <c r="B84" s="101" t="s">
        <v>105</v>
      </c>
      <c r="C84" s="142" t="s">
        <v>126</v>
      </c>
      <c r="D84" s="177">
        <v>3</v>
      </c>
      <c r="E84" s="208"/>
      <c r="F84" s="85"/>
      <c r="G84" s="121">
        <f t="shared" si="2"/>
        <v>1524</v>
      </c>
      <c r="H84" s="31" t="s">
        <v>102</v>
      </c>
      <c r="I84" s="31"/>
      <c r="J84" s="114"/>
    </row>
    <row r="85" spans="1:11" ht="15.75">
      <c r="A85">
        <v>3</v>
      </c>
      <c r="B85" s="84"/>
      <c r="C85" s="142" t="s">
        <v>127</v>
      </c>
      <c r="D85" s="177">
        <v>3</v>
      </c>
      <c r="E85" s="208"/>
      <c r="F85" s="85"/>
      <c r="G85" s="121">
        <f t="shared" si="2"/>
        <v>1524</v>
      </c>
      <c r="H85" s="31" t="s">
        <v>102</v>
      </c>
      <c r="I85" s="31"/>
      <c r="J85" s="114"/>
    </row>
    <row r="86" spans="1:11" ht="15.75">
      <c r="A86">
        <v>3</v>
      </c>
      <c r="B86" s="111"/>
      <c r="C86" s="143" t="s">
        <v>128</v>
      </c>
      <c r="D86" s="177">
        <v>3</v>
      </c>
      <c r="E86" s="209"/>
      <c r="F86" s="85"/>
      <c r="G86" s="121">
        <f t="shared" si="2"/>
        <v>1524</v>
      </c>
      <c r="H86" s="31" t="s">
        <v>102</v>
      </c>
      <c r="I86" s="31"/>
      <c r="J86" s="114"/>
    </row>
    <row r="87" spans="1:11" ht="15.75">
      <c r="B87" s="110"/>
      <c r="C87" s="144" t="s">
        <v>129</v>
      </c>
      <c r="D87" s="177">
        <v>3</v>
      </c>
      <c r="E87" s="208"/>
      <c r="F87" s="113"/>
      <c r="G87" s="122">
        <v>1524</v>
      </c>
      <c r="H87" s="31" t="s">
        <v>102</v>
      </c>
      <c r="I87" s="31"/>
      <c r="J87" s="114"/>
    </row>
    <row r="88" spans="1:11" ht="30">
      <c r="A88">
        <v>3</v>
      </c>
      <c r="B88" s="86"/>
      <c r="C88" s="145" t="s">
        <v>130</v>
      </c>
      <c r="D88" s="178">
        <v>3</v>
      </c>
      <c r="E88" s="210"/>
      <c r="F88" s="112"/>
      <c r="G88" s="123">
        <f t="shared" ref="G88:G106" si="3">$H$1*A88</f>
        <v>1524</v>
      </c>
      <c r="H88" s="31" t="s">
        <v>131</v>
      </c>
      <c r="I88" s="31"/>
      <c r="J88" s="114"/>
    </row>
    <row r="89" spans="1:11" ht="30">
      <c r="A89">
        <v>3</v>
      </c>
      <c r="B89" s="88"/>
      <c r="C89" s="146" t="s">
        <v>132</v>
      </c>
      <c r="D89" s="179">
        <v>3</v>
      </c>
      <c r="E89" s="211"/>
      <c r="F89" s="87"/>
      <c r="G89" s="124">
        <f t="shared" si="3"/>
        <v>1524</v>
      </c>
      <c r="H89" s="31" t="s">
        <v>131</v>
      </c>
      <c r="I89" s="31"/>
      <c r="J89" s="114"/>
    </row>
    <row r="90" spans="1:11">
      <c r="A90">
        <v>3</v>
      </c>
      <c r="B90" s="88"/>
      <c r="C90" s="147" t="s">
        <v>133</v>
      </c>
      <c r="D90" s="180">
        <v>3</v>
      </c>
      <c r="E90" s="211"/>
      <c r="F90" s="87"/>
      <c r="G90" s="124">
        <f t="shared" si="3"/>
        <v>1524</v>
      </c>
      <c r="H90" s="31" t="s">
        <v>131</v>
      </c>
      <c r="I90" s="31"/>
      <c r="J90" s="114"/>
    </row>
    <row r="91" spans="1:11">
      <c r="A91">
        <v>3</v>
      </c>
      <c r="B91" s="88"/>
      <c r="C91" s="147" t="s">
        <v>134</v>
      </c>
      <c r="D91" s="180">
        <v>3</v>
      </c>
      <c r="E91" s="211"/>
      <c r="F91" s="87"/>
      <c r="G91" s="124">
        <f t="shared" si="3"/>
        <v>1524</v>
      </c>
      <c r="H91" s="31" t="s">
        <v>131</v>
      </c>
      <c r="I91" s="31"/>
      <c r="J91" s="114"/>
    </row>
    <row r="92" spans="1:11">
      <c r="A92">
        <v>3</v>
      </c>
      <c r="B92" s="88"/>
      <c r="C92" s="146" t="s">
        <v>135</v>
      </c>
      <c r="D92" s="179">
        <v>3</v>
      </c>
      <c r="E92" s="211"/>
      <c r="F92" s="87"/>
      <c r="G92" s="124">
        <f t="shared" si="3"/>
        <v>1524</v>
      </c>
      <c r="H92" s="31" t="s">
        <v>131</v>
      </c>
      <c r="I92" s="31"/>
      <c r="J92" s="114"/>
    </row>
    <row r="93" spans="1:11">
      <c r="A93">
        <v>3</v>
      </c>
      <c r="B93" s="88"/>
      <c r="C93" s="147" t="s">
        <v>136</v>
      </c>
      <c r="D93" s="180">
        <v>3</v>
      </c>
      <c r="E93" s="211"/>
      <c r="F93" s="87"/>
      <c r="G93" s="124">
        <f t="shared" si="3"/>
        <v>1524</v>
      </c>
      <c r="H93" s="31" t="s">
        <v>131</v>
      </c>
      <c r="I93" s="31"/>
      <c r="J93" s="114"/>
    </row>
    <row r="94" spans="1:11">
      <c r="A94">
        <v>3</v>
      </c>
      <c r="B94" s="88"/>
      <c r="C94" s="147" t="s">
        <v>137</v>
      </c>
      <c r="D94" s="180">
        <v>3</v>
      </c>
      <c r="E94" s="211"/>
      <c r="F94" s="87"/>
      <c r="G94" s="124">
        <f t="shared" si="3"/>
        <v>1524</v>
      </c>
      <c r="H94" s="31" t="s">
        <v>131</v>
      </c>
      <c r="I94" s="31"/>
      <c r="J94" s="114"/>
    </row>
    <row r="95" spans="1:11" ht="30">
      <c r="A95">
        <v>3</v>
      </c>
      <c r="B95" s="88"/>
      <c r="C95" s="146" t="s">
        <v>138</v>
      </c>
      <c r="D95" s="179">
        <v>3</v>
      </c>
      <c r="E95" s="211"/>
      <c r="F95" s="87"/>
      <c r="G95" s="124">
        <f t="shared" si="3"/>
        <v>1524</v>
      </c>
      <c r="H95" s="31" t="s">
        <v>131</v>
      </c>
      <c r="I95" s="31"/>
      <c r="J95" s="114"/>
    </row>
    <row r="96" spans="1:11">
      <c r="A96">
        <v>3</v>
      </c>
      <c r="B96" s="88"/>
      <c r="C96" s="148" t="s">
        <v>139</v>
      </c>
      <c r="D96" s="179">
        <v>3</v>
      </c>
      <c r="E96" s="211"/>
      <c r="F96" s="87"/>
      <c r="G96" s="124">
        <f t="shared" si="3"/>
        <v>1524</v>
      </c>
      <c r="H96" s="31" t="s">
        <v>131</v>
      </c>
      <c r="I96" s="31"/>
      <c r="J96" s="114"/>
    </row>
    <row r="97" spans="1:11" ht="18.75">
      <c r="A97">
        <v>3</v>
      </c>
      <c r="B97" s="90" t="s">
        <v>140</v>
      </c>
      <c r="C97" s="149" t="s">
        <v>141</v>
      </c>
      <c r="D97" s="181">
        <v>3</v>
      </c>
      <c r="E97" s="212"/>
      <c r="F97" s="89"/>
      <c r="G97" s="125">
        <f t="shared" si="3"/>
        <v>1524</v>
      </c>
      <c r="H97" s="31" t="s">
        <v>142</v>
      </c>
      <c r="I97" s="31"/>
      <c r="J97" s="114"/>
    </row>
    <row r="98" spans="1:11" ht="18.75">
      <c r="A98">
        <v>3</v>
      </c>
      <c r="B98" s="90" t="s">
        <v>143</v>
      </c>
      <c r="C98" s="149" t="s">
        <v>144</v>
      </c>
      <c r="D98" s="181">
        <v>3</v>
      </c>
      <c r="E98" s="212"/>
      <c r="F98" s="89"/>
      <c r="G98" s="125">
        <f t="shared" si="3"/>
        <v>1524</v>
      </c>
      <c r="H98" s="31" t="s">
        <v>142</v>
      </c>
      <c r="I98" s="31"/>
      <c r="J98" s="114"/>
    </row>
    <row r="99" spans="1:11">
      <c r="A99">
        <v>3</v>
      </c>
      <c r="B99" s="103"/>
      <c r="C99" s="150" t="s">
        <v>145</v>
      </c>
      <c r="D99" s="182">
        <v>3</v>
      </c>
      <c r="E99" s="213"/>
      <c r="F99" s="104"/>
      <c r="G99" s="126">
        <f t="shared" si="3"/>
        <v>1524</v>
      </c>
      <c r="H99" s="31" t="s">
        <v>146</v>
      </c>
      <c r="I99" s="31"/>
      <c r="J99" s="114"/>
    </row>
    <row r="100" spans="1:11">
      <c r="A100">
        <v>3</v>
      </c>
      <c r="B100" s="103"/>
      <c r="C100" s="150" t="s">
        <v>147</v>
      </c>
      <c r="D100" s="182">
        <v>3</v>
      </c>
      <c r="E100" s="213"/>
      <c r="F100" s="104"/>
      <c r="G100" s="126">
        <f t="shared" si="3"/>
        <v>1524</v>
      </c>
      <c r="H100" s="31" t="s">
        <v>146</v>
      </c>
      <c r="I100" s="31"/>
      <c r="J100" s="114"/>
    </row>
    <row r="101" spans="1:11">
      <c r="A101">
        <v>3</v>
      </c>
      <c r="B101" s="103"/>
      <c r="C101" s="150" t="s">
        <v>148</v>
      </c>
      <c r="D101" s="182">
        <v>3</v>
      </c>
      <c r="E101" s="213"/>
      <c r="F101" s="104"/>
      <c r="G101" s="126">
        <f t="shared" si="3"/>
        <v>1524</v>
      </c>
      <c r="H101" s="31" t="s">
        <v>146</v>
      </c>
      <c r="I101" s="31"/>
      <c r="J101" s="114"/>
    </row>
    <row r="102" spans="1:11">
      <c r="A102">
        <v>3</v>
      </c>
      <c r="B102" s="103"/>
      <c r="C102" s="150" t="s">
        <v>149</v>
      </c>
      <c r="D102" s="182">
        <v>3</v>
      </c>
      <c r="E102" s="213"/>
      <c r="F102" s="104"/>
      <c r="G102" s="126">
        <f t="shared" si="3"/>
        <v>1524</v>
      </c>
      <c r="H102" s="31" t="s">
        <v>146</v>
      </c>
      <c r="I102" s="31"/>
      <c r="J102" s="114"/>
    </row>
    <row r="103" spans="1:11">
      <c r="A103">
        <v>3</v>
      </c>
      <c r="B103" s="103"/>
      <c r="C103" s="150" t="s">
        <v>150</v>
      </c>
      <c r="D103" s="182">
        <v>3</v>
      </c>
      <c r="E103" s="213"/>
      <c r="F103" s="104"/>
      <c r="G103" s="126">
        <f t="shared" si="3"/>
        <v>1524</v>
      </c>
      <c r="H103" s="31" t="s">
        <v>146</v>
      </c>
      <c r="I103" s="31"/>
      <c r="J103" s="114"/>
    </row>
    <row r="104" spans="1:11">
      <c r="A104">
        <v>3</v>
      </c>
      <c r="B104" s="103"/>
      <c r="C104" s="150" t="s">
        <v>151</v>
      </c>
      <c r="D104" s="182">
        <v>3</v>
      </c>
      <c r="E104" s="213"/>
      <c r="F104" s="104"/>
      <c r="G104" s="126">
        <f t="shared" si="3"/>
        <v>1524</v>
      </c>
      <c r="H104" s="31" t="s">
        <v>146</v>
      </c>
      <c r="I104" s="31"/>
      <c r="J104" s="114"/>
    </row>
    <row r="105" spans="1:11">
      <c r="A105">
        <v>3</v>
      </c>
      <c r="B105" s="103"/>
      <c r="C105" s="150" t="s">
        <v>152</v>
      </c>
      <c r="D105" s="182">
        <v>3</v>
      </c>
      <c r="E105" s="213"/>
      <c r="F105" s="104"/>
      <c r="G105" s="126">
        <f t="shared" si="3"/>
        <v>1524</v>
      </c>
      <c r="H105" s="31" t="s">
        <v>146</v>
      </c>
      <c r="I105" s="31"/>
      <c r="J105" s="114"/>
    </row>
    <row r="106" spans="1:11">
      <c r="A106">
        <v>3</v>
      </c>
      <c r="B106" s="103"/>
      <c r="C106" s="150" t="s">
        <v>153</v>
      </c>
      <c r="D106" s="182">
        <v>3</v>
      </c>
      <c r="E106" s="213"/>
      <c r="F106" s="104"/>
      <c r="G106" s="126">
        <f t="shared" si="3"/>
        <v>1524</v>
      </c>
      <c r="H106" s="31" t="s">
        <v>146</v>
      </c>
      <c r="I106" s="31"/>
      <c r="J106" s="114"/>
    </row>
    <row r="107" spans="1:11">
      <c r="A107">
        <v>3</v>
      </c>
      <c r="B107" s="28"/>
      <c r="C107" s="129" t="s">
        <v>154</v>
      </c>
      <c r="D107" s="67">
        <v>3</v>
      </c>
      <c r="E107" s="214"/>
      <c r="F107" s="48"/>
      <c r="G107" s="56"/>
      <c r="H107" s="20"/>
      <c r="I107" s="20"/>
      <c r="K107">
        <f>SUM(K34:K106)</f>
        <v>13</v>
      </c>
    </row>
    <row r="108" spans="1:11" ht="17.25">
      <c r="F108" s="16" t="s">
        <v>155</v>
      </c>
      <c r="G108" s="55">
        <f>SUM(G35:G107)</f>
        <v>98453</v>
      </c>
      <c r="H108" s="20"/>
      <c r="I108" s="20"/>
    </row>
    <row r="109" spans="1:11">
      <c r="E109" s="25">
        <f ca="1">NOW()</f>
        <v>46239.396506249999</v>
      </c>
      <c r="F109" t="s">
        <v>156</v>
      </c>
      <c r="H109" s="20"/>
      <c r="I109" s="20"/>
    </row>
    <row r="110" spans="1:11" ht="61.5">
      <c r="F110" s="102" t="s">
        <v>157</v>
      </c>
      <c r="H110" s="20"/>
      <c r="I110" s="20">
        <f>13*1524</f>
        <v>19812</v>
      </c>
    </row>
    <row r="111" spans="1:11" ht="36">
      <c r="F111" s="197">
        <f>G30-G108</f>
        <v>-16889</v>
      </c>
      <c r="G111" s="197"/>
      <c r="H111" s="20"/>
      <c r="I111" s="20"/>
    </row>
    <row r="112" spans="1:11">
      <c r="I112" s="20"/>
    </row>
    <row r="113" spans="1:9">
      <c r="H113" s="20"/>
      <c r="I113" s="20"/>
    </row>
    <row r="114" spans="1:9">
      <c r="H114" s="20"/>
      <c r="I114" s="20"/>
    </row>
    <row r="115" spans="1:9">
      <c r="H115" s="20"/>
      <c r="I115" s="20"/>
    </row>
    <row r="116" spans="1:9">
      <c r="H116" s="20"/>
      <c r="I116" s="20"/>
    </row>
    <row r="117" spans="1:9">
      <c r="H117" s="20"/>
      <c r="I117" s="20"/>
    </row>
    <row r="118" spans="1:9">
      <c r="H118" s="20"/>
      <c r="I118" s="20"/>
    </row>
    <row r="119" spans="1:9">
      <c r="H119" s="20"/>
      <c r="I119" s="20"/>
    </row>
    <row r="120" spans="1:9">
      <c r="H120" s="20"/>
      <c r="I120" s="20"/>
    </row>
    <row r="121" spans="1:9">
      <c r="H121" s="20"/>
      <c r="I121" s="20"/>
    </row>
    <row r="122" spans="1:9">
      <c r="H122" s="20" t="s">
        <v>158</v>
      </c>
      <c r="I122" s="20"/>
    </row>
    <row r="123" spans="1:9">
      <c r="H123" s="20"/>
      <c r="I123" s="20"/>
    </row>
    <row r="124" spans="1:9">
      <c r="H124" s="20"/>
      <c r="I124" s="20"/>
    </row>
    <row r="125" spans="1:9" s="60" customFormat="1">
      <c r="A125"/>
      <c r="B125"/>
      <c r="C125" s="66"/>
      <c r="D125" s="66"/>
      <c r="E125"/>
      <c r="F125"/>
      <c r="G125"/>
      <c r="H125" s="61"/>
      <c r="I125" s="61"/>
    </row>
    <row r="126" spans="1:9">
      <c r="H126" s="20"/>
      <c r="I126" s="20"/>
    </row>
    <row r="127" spans="1:9" ht="17.25">
      <c r="H127" s="8">
        <f>G30-G108</f>
        <v>-16889</v>
      </c>
      <c r="I127" s="8"/>
    </row>
    <row r="128" spans="1:9">
      <c r="H128" s="22"/>
    </row>
    <row r="130" spans="8:10">
      <c r="H130" s="114" t="s">
        <v>38</v>
      </c>
      <c r="I130" s="189">
        <f>COUNTIF(H35:H106,H130)</f>
        <v>6</v>
      </c>
      <c r="J130" s="184">
        <f>SUMIF(H35:H106,H130,G35:G106)</f>
        <v>7620</v>
      </c>
    </row>
    <row r="131" spans="8:10">
      <c r="H131" s="114" t="s">
        <v>54</v>
      </c>
      <c r="I131" s="189">
        <f>COUNTIF(H35:H106,H131)</f>
        <v>1</v>
      </c>
      <c r="J131" s="184">
        <f>SUMIF(H35:H106,H131,G35:G106)</f>
        <v>508</v>
      </c>
    </row>
    <row r="132" spans="8:10">
      <c r="H132" s="114" t="s">
        <v>52</v>
      </c>
      <c r="I132" s="189">
        <f>COUNTIF(H35:H106,H132)</f>
        <v>1</v>
      </c>
      <c r="J132" s="184">
        <f>SUMIF(H35:H106,H132,G35:G106)</f>
        <v>508</v>
      </c>
    </row>
    <row r="133" spans="8:10">
      <c r="H133" s="114" t="s">
        <v>64</v>
      </c>
      <c r="I133" s="189">
        <f>COUNTIF(H35:H106,H133)</f>
        <v>3</v>
      </c>
      <c r="J133" s="184">
        <f>SUMIF(H35:H106,H133,G35:G106)</f>
        <v>2032</v>
      </c>
    </row>
    <row r="134" spans="8:10">
      <c r="H134" s="114" t="s">
        <v>70</v>
      </c>
      <c r="I134" s="189">
        <f>COUNTIF(H35:H106,H134)</f>
        <v>1</v>
      </c>
      <c r="J134" s="184">
        <f>SUMIF(H35:H106,H134,G35:G106)</f>
        <v>1425</v>
      </c>
    </row>
    <row r="135" spans="8:10">
      <c r="H135" s="114" t="s">
        <v>46</v>
      </c>
      <c r="I135" s="189">
        <f>COUNTIF(H35:H106,H135)</f>
        <v>5</v>
      </c>
      <c r="J135" s="184">
        <f>SUMIF(H35:H106,H135,G35:G106)</f>
        <v>7112</v>
      </c>
    </row>
    <row r="136" spans="8:10">
      <c r="H136" s="114" t="s">
        <v>74</v>
      </c>
      <c r="I136" s="189">
        <f>COUNTIF(H35:H106,H136)</f>
        <v>11</v>
      </c>
      <c r="J136" s="184">
        <f>SUMIF(H35:H106,H136,G35:G106)</f>
        <v>13716</v>
      </c>
    </row>
    <row r="137" spans="8:10">
      <c r="H137" s="114" t="s">
        <v>92</v>
      </c>
      <c r="I137" s="189">
        <f>COUNTIF(H35:H106,H137)</f>
        <v>3</v>
      </c>
      <c r="J137" s="184">
        <f>SUMIF(H35:H106,H137,G35:G106)</f>
        <v>4572</v>
      </c>
    </row>
    <row r="138" spans="8:10">
      <c r="H138" s="114" t="s">
        <v>98</v>
      </c>
      <c r="I138" s="189">
        <f>COUNTIF(H35:H106,H138)</f>
        <v>2</v>
      </c>
      <c r="J138" s="184">
        <f>SUMIF(H35:H106,H138,G35:G106)</f>
        <v>3048</v>
      </c>
    </row>
    <row r="139" spans="8:10">
      <c r="H139" s="114" t="s">
        <v>102</v>
      </c>
      <c r="I139" s="189">
        <f>COUNTIF(H35:H106,H139)</f>
        <v>19</v>
      </c>
      <c r="J139" s="184">
        <f>SUMIF(H35:H106,H139,G35:G106)</f>
        <v>28956</v>
      </c>
    </row>
    <row r="140" spans="8:10">
      <c r="H140" s="114" t="s">
        <v>131</v>
      </c>
      <c r="I140" s="189">
        <f>COUNTIF(H35:H106,H140)</f>
        <v>9</v>
      </c>
      <c r="J140" s="184">
        <f>SUMIF(H35:H106,H140,G35:G106)</f>
        <v>13716</v>
      </c>
    </row>
    <row r="141" spans="8:10">
      <c r="H141" s="114" t="s">
        <v>142</v>
      </c>
      <c r="I141" s="189">
        <f>COUNTIF(H35:H106,H141)</f>
        <v>2</v>
      </c>
      <c r="J141" s="184">
        <f>SUMIF(H35:H106,H141,G35:G106)</f>
        <v>3048</v>
      </c>
    </row>
    <row r="142" spans="8:10">
      <c r="H142" s="114" t="s">
        <v>146</v>
      </c>
      <c r="I142" s="189">
        <f>COUNTIF(H35:H106,H142)</f>
        <v>8</v>
      </c>
      <c r="J142" s="184">
        <f>SUMIF(H35:H106,H142,G35:G106)</f>
        <v>12192</v>
      </c>
    </row>
    <row r="143" spans="8:10">
      <c r="H143" s="114" t="s">
        <v>37</v>
      </c>
      <c r="I143" s="189">
        <f>COUNTIF(H35:H106,H143)</f>
        <v>1</v>
      </c>
      <c r="J143" s="184">
        <f>SUMIF(H35:H106,H143,G35:G106)</f>
        <v>0</v>
      </c>
    </row>
    <row r="144" spans="8:10">
      <c r="H144" s="114"/>
      <c r="I144" s="189"/>
      <c r="J144" s="187"/>
    </row>
    <row r="145" spans="8:10">
      <c r="H145" s="185" t="s">
        <v>159</v>
      </c>
      <c r="I145" s="190">
        <f>SUM(I130:I143)</f>
        <v>72</v>
      </c>
      <c r="J145" s="186">
        <f>SUM(J130:J143)</f>
        <v>98453</v>
      </c>
    </row>
  </sheetData>
  <mergeCells count="9">
    <mergeCell ref="F111:G111"/>
    <mergeCell ref="B29:F29"/>
    <mergeCell ref="B32:G32"/>
    <mergeCell ref="B1:G1"/>
    <mergeCell ref="B2:G2"/>
    <mergeCell ref="B3:G3"/>
    <mergeCell ref="B4:G4"/>
    <mergeCell ref="B6:G6"/>
    <mergeCell ref="B28:G28"/>
  </mergeCells>
  <pageMargins left="0.7" right="0.7" top="0.75" bottom="0.75" header="0.3" footer="0.3"/>
  <pageSetup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ECBF-A00F-44B1-8F98-3129B2558DEF}">
  <dimension ref="A1:C13"/>
  <sheetViews>
    <sheetView workbookViewId="0">
      <selection activeCell="D2" sqref="D2"/>
    </sheetView>
  </sheetViews>
  <sheetFormatPr defaultRowHeight="15"/>
  <cols>
    <col min="1" max="1" width="21.42578125" customWidth="1"/>
    <col min="2" max="2" width="32.140625" customWidth="1"/>
    <col min="3" max="3" width="59.5703125" customWidth="1"/>
  </cols>
  <sheetData>
    <row r="1" spans="1:3">
      <c r="A1" s="191" t="s">
        <v>160</v>
      </c>
      <c r="B1" s="191" t="s">
        <v>161</v>
      </c>
      <c r="C1" s="191" t="s">
        <v>162</v>
      </c>
    </row>
    <row r="2" spans="1:3" ht="90">
      <c r="A2" s="192" t="s">
        <v>163</v>
      </c>
      <c r="B2" s="193" t="s">
        <v>164</v>
      </c>
      <c r="C2" s="194" t="s">
        <v>165</v>
      </c>
    </row>
    <row r="3" spans="1:3" ht="75">
      <c r="A3" s="192" t="s">
        <v>166</v>
      </c>
      <c r="B3" s="193" t="s">
        <v>167</v>
      </c>
      <c r="C3" s="194" t="s">
        <v>168</v>
      </c>
    </row>
    <row r="4" spans="1:3" ht="90">
      <c r="A4" s="192" t="s">
        <v>169</v>
      </c>
      <c r="B4" s="193" t="s">
        <v>170</v>
      </c>
      <c r="C4" s="194" t="s">
        <v>171</v>
      </c>
    </row>
    <row r="5" spans="1:3" ht="105">
      <c r="A5" s="192" t="s">
        <v>172</v>
      </c>
      <c r="B5" s="193" t="s">
        <v>173</v>
      </c>
      <c r="C5" s="194" t="s">
        <v>174</v>
      </c>
    </row>
    <row r="6" spans="1:3" ht="105">
      <c r="A6" s="192" t="s">
        <v>175</v>
      </c>
      <c r="B6" s="193" t="s">
        <v>176</v>
      </c>
      <c r="C6" s="194" t="s">
        <v>177</v>
      </c>
    </row>
    <row r="7" spans="1:3" ht="60">
      <c r="A7" s="192" t="s">
        <v>37</v>
      </c>
      <c r="B7" s="193" t="s">
        <v>178</v>
      </c>
      <c r="C7" s="194" t="s">
        <v>179</v>
      </c>
    </row>
    <row r="8" spans="1:3" ht="90">
      <c r="A8" s="192" t="s">
        <v>142</v>
      </c>
      <c r="B8" s="193" t="s">
        <v>180</v>
      </c>
      <c r="C8" s="194" t="s">
        <v>181</v>
      </c>
    </row>
    <row r="9" spans="1:3" ht="60">
      <c r="A9" s="192" t="s">
        <v>182</v>
      </c>
      <c r="B9" s="193" t="s">
        <v>183</v>
      </c>
      <c r="C9" s="194" t="s">
        <v>184</v>
      </c>
    </row>
    <row r="10" spans="1:3" ht="45">
      <c r="A10" s="192" t="s">
        <v>185</v>
      </c>
      <c r="B10" s="193" t="s">
        <v>186</v>
      </c>
      <c r="C10" s="194" t="s">
        <v>187</v>
      </c>
    </row>
    <row r="11" spans="1:3" ht="60">
      <c r="A11" s="192" t="s">
        <v>188</v>
      </c>
      <c r="B11" s="193" t="s">
        <v>189</v>
      </c>
      <c r="C11" s="194" t="s">
        <v>190</v>
      </c>
    </row>
    <row r="12" spans="1:3" ht="75">
      <c r="A12" s="192" t="s">
        <v>54</v>
      </c>
      <c r="B12" s="193" t="s">
        <v>191</v>
      </c>
      <c r="C12" s="194" t="s">
        <v>192</v>
      </c>
    </row>
    <row r="13" spans="1:3" ht="75">
      <c r="A13" s="192" t="s">
        <v>52</v>
      </c>
      <c r="B13" s="193" t="s">
        <v>193</v>
      </c>
      <c r="C13" s="194" t="s">
        <v>194</v>
      </c>
    </row>
  </sheetData>
  <hyperlinks>
    <hyperlink ref="C2" r:id="rId1" display="Falta HPER 6030, porque la subespecialidad lista formalmente HPER 5300, HPER 6030, HPER 6100 y HPER 6110. Los cursos HPER 5000, HPER 5050, HPER 6550, HPER 6660 y HPER 6910 pueden apoyar el área, pero no sustituyen automáticamente los cuatro cursos requeridos de la subespecialidad. (Inter American University Catalog)" xr:uid="{5CCF8841-7949-457A-BDE4-7F6DE715021A}"/>
    <hyperlink ref="C3" r:id="rId2" display="Faltan los cursos operacionales ENTR 8910, ENTR 8950, ENTR 8991, ENTR 8992 y ENTR 8993. El catálogo también permite ENTR 797C o ENTR 8200 como distributivo prescrito; como ENTR 797C aparece, ENTR 8200 no es obligatorio si se usa esa opción. (Inter American University Catalog)" xr:uid="{6D7191B9-5A0F-4672-A230-B9D5DB9D1C88}"/>
    <hyperlink ref="C4" r:id="rId3" display="Faltan cursos de especialidad requeridos: ENGL 5040, ENGL 5050, ENGL 5240, ENGL 6090, ENGL 6100 y ENGL 6113. También falta definir el curso de literatura requerido dentro de la especialidad. Los distributivos no necesariamente faltan todos, porque el catálogo pide seleccionar 6 créditos de una lista y Year 3 ya incluye varias opciones. (Inter American University Catalog)" xr:uid="{5904F46F-C716-4472-B20F-5E2B757038E2}"/>
    <hyperlink ref="C5" r:id="rId4" display="Faltan los cursos operacionales MUED 8991 y MUED 8992. Los distributivos no deben verse todos como faltantes, porque el catálogo requiere seleccionar 9 créditos de una lista de opciones. Si se quiere completar el banco completo de opciones, quedarían por considerar MUED 797_, MUSI 8861 y MUSI 8862, pero no son obligatorios todos. (Inter American University Catalog)" xr:uid="{5EF09E40-2A04-4AAE-8AFA-83100D36C4DF}"/>
    <hyperlink ref="C6" r:id="rId5" display="Para el componente general del Ed.D., faltan cursos de fundamentos a seleccionar, cursos operacionales EDUC 8960, EDUC 8991 y EDUC 8992, además de electivos doctorales según la especialidad. En la especialidad de Gerencia y Liderazgo Educativos, faltan EDUC 8550, EDUC 8560, EDUC 8570 y EDUC 8575, más dos distributivos prescritos y un electivo doctoral. (Inter American University Catalog)" xr:uid="{C6852D1D-F771-4FD7-8096-339EFFABC536}"/>
    <hyperlink ref="C7" r:id="rId6" xr:uid="{3276C7C5-60BE-47DC-B19A-186E38D6E419}"/>
    <hyperlink ref="C8" r:id="rId7" display="Faltan cursos medulares como EVSC 5000, EVSC 5030, EVSC 5165, EVSC 6101, EVSC 6102 y EVSC 699A. También falta definir la especialidad correspondiente y completar los créditos requeridos de esa concentración. EVSC 5275 puede contar como distributivo, pero no cubre por sí solo todos los requisitos distributivos. (Inter American University Catalog)" xr:uid="{1B63762A-C8EF-47F7-B651-8423C0DE02AE}"/>
    <hyperlink ref="C9" r:id="rId8" xr:uid="{A35A3C95-3231-4D0C-818C-1FEAA54ECBE0}"/>
    <hyperlink ref="C10" r:id="rId9" xr:uid="{CD08995F-310D-4398-8F7B-AF3E96B3FB0D}"/>
    <hyperlink ref="C11" r:id="rId10" xr:uid="{983C2821-4F8E-48C6-B31B-97036C9B6271}"/>
    <hyperlink ref="C12" r:id="rId11" display="Falta PSYC 7060 en el componente medular. También faltan cursos de concentración como PSYC 8610, 8630, 8640, 8650, 8660, 8919, 8921, 8922, 8923, 8975, 8976, 8977 y 8978. Además, faltan los operacionales PSYC 8990A, 8990B, 8991 y 8992. (Inter American University Catalog)" xr:uid="{33943455-A3C3-4892-863E-C482A3F86484}"/>
    <hyperlink ref="C13" r:id="rId12" display="Falta PSYC 7060 en el componente medular. También faltan cursos de concentración como PSYC 8330, 8610, 8620, 8630, 8650, 8660, 8914, 8919, 8921, 8923, 8985, 8986, 8987 y 8988. Además, faltan los operacionales PSYC 8990A, 8990B, 8991 y 8992. (Inter American University Catalog)" xr:uid="{5027ADC1-42BF-446C-9C2F-649261E9FF1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10C2-8C5F-40D0-9FB6-A5B8F2809D56}">
  <sheetPr>
    <pageSetUpPr fitToPage="1"/>
  </sheetPr>
  <dimension ref="A1:I38"/>
  <sheetViews>
    <sheetView topLeftCell="A3" workbookViewId="0">
      <selection activeCell="C22" sqref="C22"/>
    </sheetView>
  </sheetViews>
  <sheetFormatPr defaultRowHeight="15"/>
  <cols>
    <col min="1" max="1" width="3.28515625" bestFit="1" customWidth="1"/>
    <col min="2" max="2" width="30" bestFit="1" customWidth="1"/>
    <col min="3" max="3" width="11.7109375" bestFit="1" customWidth="1"/>
    <col min="4" max="4" width="60.7109375" bestFit="1" customWidth="1"/>
    <col min="5" max="5" width="14.42578125" bestFit="1" customWidth="1"/>
    <col min="6" max="6" width="14.5703125" bestFit="1" customWidth="1"/>
    <col min="7" max="7" width="14.28515625" bestFit="1" customWidth="1"/>
    <col min="8" max="8" width="14" bestFit="1" customWidth="1"/>
  </cols>
  <sheetData>
    <row r="1" spans="1:9" ht="15.75" customHeight="1">
      <c r="B1" s="200" t="s">
        <v>11</v>
      </c>
      <c r="C1" s="200"/>
      <c r="D1" s="200"/>
      <c r="E1" s="200"/>
      <c r="F1" s="200"/>
      <c r="G1" s="18"/>
      <c r="H1" s="18"/>
    </row>
    <row r="2" spans="1:9" ht="15.75" customHeight="1">
      <c r="B2" s="200" t="s">
        <v>13</v>
      </c>
      <c r="C2" s="200"/>
      <c r="D2" s="200"/>
      <c r="E2" s="200"/>
      <c r="F2" s="200"/>
      <c r="G2" s="18"/>
      <c r="H2" s="18"/>
    </row>
    <row r="3" spans="1:9" ht="15.75" customHeight="1">
      <c r="B3" s="201" t="s">
        <v>15</v>
      </c>
      <c r="C3" s="201"/>
      <c r="D3" s="201"/>
      <c r="E3" s="201"/>
      <c r="F3" s="201"/>
      <c r="G3" s="11"/>
      <c r="H3" s="11"/>
    </row>
    <row r="4" spans="1:9">
      <c r="B4" s="201" t="s">
        <v>17</v>
      </c>
      <c r="C4" s="201"/>
      <c r="D4" s="201"/>
      <c r="E4" s="201"/>
      <c r="F4" s="201"/>
      <c r="G4" s="11"/>
      <c r="H4" s="11"/>
    </row>
    <row r="5" spans="1:9" ht="6.75" customHeight="1"/>
    <row r="6" spans="1:9" ht="15.75" customHeight="1">
      <c r="B6" s="202" t="s">
        <v>195</v>
      </c>
      <c r="C6" s="202"/>
      <c r="D6" s="202"/>
      <c r="E6" s="202"/>
      <c r="F6" s="202"/>
      <c r="G6" s="19"/>
      <c r="H6" s="19"/>
    </row>
    <row r="7" spans="1:9" ht="6" customHeight="1"/>
    <row r="8" spans="1:9" ht="30">
      <c r="B8" s="1" t="s">
        <v>0</v>
      </c>
      <c r="C8" s="2" t="s">
        <v>1</v>
      </c>
      <c r="D8" s="3" t="s">
        <v>2</v>
      </c>
      <c r="E8" s="4" t="s">
        <v>3</v>
      </c>
      <c r="F8" s="5" t="s">
        <v>4</v>
      </c>
      <c r="G8" s="5" t="s">
        <v>20</v>
      </c>
      <c r="H8" s="5" t="s">
        <v>21</v>
      </c>
    </row>
    <row r="9" spans="1:9">
      <c r="A9" s="11">
        <v>1</v>
      </c>
      <c r="B9" s="10" t="s">
        <v>196</v>
      </c>
      <c r="C9" s="6" t="s">
        <v>197</v>
      </c>
      <c r="D9" s="26" t="s">
        <v>198</v>
      </c>
      <c r="E9" s="27">
        <v>6013</v>
      </c>
      <c r="F9" s="37">
        <v>1524</v>
      </c>
      <c r="G9" s="24" t="s">
        <v>199</v>
      </c>
      <c r="H9" s="7" t="s">
        <v>200</v>
      </c>
      <c r="I9">
        <v>1</v>
      </c>
    </row>
    <row r="10" spans="1:9">
      <c r="A10" s="11">
        <v>2</v>
      </c>
      <c r="B10" s="10" t="s">
        <v>5</v>
      </c>
      <c r="C10" s="6" t="s">
        <v>201</v>
      </c>
      <c r="D10" s="26" t="s">
        <v>202</v>
      </c>
      <c r="E10" s="27">
        <v>6013</v>
      </c>
      <c r="F10" s="37">
        <v>1524</v>
      </c>
      <c r="G10" s="24">
        <v>45454</v>
      </c>
      <c r="H10" s="24">
        <v>45559</v>
      </c>
      <c r="I10">
        <v>1</v>
      </c>
    </row>
    <row r="11" spans="1:9">
      <c r="A11" s="11">
        <v>3</v>
      </c>
      <c r="B11" s="10" t="s">
        <v>5</v>
      </c>
      <c r="C11" s="6" t="s">
        <v>203</v>
      </c>
      <c r="D11" s="35" t="s">
        <v>204</v>
      </c>
      <c r="E11" s="27">
        <v>6013</v>
      </c>
      <c r="F11" s="37">
        <v>1524</v>
      </c>
      <c r="G11" s="51">
        <v>45596</v>
      </c>
      <c r="H11" s="51">
        <v>45707</v>
      </c>
      <c r="I11">
        <v>1</v>
      </c>
    </row>
    <row r="12" spans="1:9">
      <c r="A12" s="11">
        <v>4</v>
      </c>
      <c r="B12" s="10" t="s">
        <v>5</v>
      </c>
      <c r="C12" s="6" t="s">
        <v>205</v>
      </c>
      <c r="D12" s="35" t="s">
        <v>204</v>
      </c>
      <c r="E12" s="27">
        <v>6013</v>
      </c>
      <c r="F12" s="37">
        <v>1524</v>
      </c>
      <c r="G12" s="51">
        <v>45596</v>
      </c>
      <c r="H12" s="51">
        <v>45707</v>
      </c>
      <c r="I12">
        <v>1</v>
      </c>
    </row>
    <row r="13" spans="1:9">
      <c r="A13" s="11">
        <v>5</v>
      </c>
      <c r="B13" s="10" t="s">
        <v>206</v>
      </c>
      <c r="C13" s="6" t="s">
        <v>207</v>
      </c>
      <c r="D13" s="26" t="s">
        <v>208</v>
      </c>
      <c r="E13" s="27">
        <v>6013</v>
      </c>
      <c r="F13" s="38">
        <v>1524</v>
      </c>
      <c r="G13" s="37" t="s">
        <v>209</v>
      </c>
      <c r="H13" s="37" t="s">
        <v>210</v>
      </c>
      <c r="I13">
        <v>1</v>
      </c>
    </row>
    <row r="14" spans="1:9">
      <c r="A14" s="11">
        <v>6</v>
      </c>
      <c r="B14" s="10" t="s">
        <v>206</v>
      </c>
      <c r="C14" s="6">
        <v>432</v>
      </c>
      <c r="D14" s="26" t="s">
        <v>208</v>
      </c>
      <c r="E14" s="27">
        <v>6013</v>
      </c>
      <c r="F14" s="38">
        <v>1524</v>
      </c>
      <c r="G14" s="37" t="s">
        <v>211</v>
      </c>
      <c r="H14" s="37" t="s">
        <v>210</v>
      </c>
      <c r="I14">
        <v>1</v>
      </c>
    </row>
    <row r="15" spans="1:9">
      <c r="A15" s="11">
        <v>7</v>
      </c>
      <c r="B15" s="10" t="s">
        <v>212</v>
      </c>
      <c r="C15" s="106" t="s">
        <v>213</v>
      </c>
      <c r="D15" s="26" t="s">
        <v>208</v>
      </c>
      <c r="E15" s="27">
        <v>6013</v>
      </c>
      <c r="F15" s="38">
        <v>1524</v>
      </c>
      <c r="G15" s="51">
        <v>45594</v>
      </c>
      <c r="H15" s="37" t="s">
        <v>210</v>
      </c>
      <c r="I15">
        <v>1</v>
      </c>
    </row>
    <row r="16" spans="1:9">
      <c r="A16" s="11">
        <v>8</v>
      </c>
      <c r="B16" s="10" t="s">
        <v>214</v>
      </c>
      <c r="C16" s="6" t="s">
        <v>215</v>
      </c>
      <c r="D16" s="26" t="s">
        <v>208</v>
      </c>
      <c r="E16" s="27">
        <v>6013</v>
      </c>
      <c r="F16" s="38">
        <v>1524</v>
      </c>
      <c r="G16" s="37" t="s">
        <v>211</v>
      </c>
      <c r="H16" s="37" t="s">
        <v>210</v>
      </c>
      <c r="I16">
        <v>1</v>
      </c>
    </row>
    <row r="17" spans="1:9">
      <c r="A17" s="11">
        <v>9</v>
      </c>
      <c r="B17" s="10" t="s">
        <v>216</v>
      </c>
      <c r="C17" s="6" t="s">
        <v>217</v>
      </c>
      <c r="D17" s="35" t="s">
        <v>204</v>
      </c>
      <c r="E17" s="27">
        <v>6013</v>
      </c>
      <c r="F17" s="38">
        <v>1524</v>
      </c>
      <c r="G17" s="51">
        <v>45698</v>
      </c>
      <c r="H17" s="51">
        <v>45707</v>
      </c>
      <c r="I17">
        <v>1</v>
      </c>
    </row>
    <row r="18" spans="1:9">
      <c r="A18" s="11">
        <v>10</v>
      </c>
      <c r="B18" s="10" t="s">
        <v>218</v>
      </c>
      <c r="C18" s="6" t="s">
        <v>219</v>
      </c>
      <c r="D18" s="35" t="s">
        <v>204</v>
      </c>
      <c r="E18" s="27">
        <v>6013</v>
      </c>
      <c r="F18" s="38">
        <v>1524</v>
      </c>
      <c r="G18" s="51">
        <v>45698</v>
      </c>
      <c r="H18" s="51">
        <v>45707</v>
      </c>
      <c r="I18">
        <v>1</v>
      </c>
    </row>
    <row r="19" spans="1:9">
      <c r="A19" s="11">
        <v>11</v>
      </c>
      <c r="B19" s="45" t="s">
        <v>212</v>
      </c>
      <c r="C19" s="107" t="s">
        <v>220</v>
      </c>
      <c r="D19" s="36" t="s">
        <v>221</v>
      </c>
      <c r="E19" s="39">
        <v>6013</v>
      </c>
      <c r="F19" s="40">
        <v>1524</v>
      </c>
      <c r="G19" s="53" t="s">
        <v>211</v>
      </c>
      <c r="H19" s="54">
        <v>45714</v>
      </c>
      <c r="I19">
        <v>1</v>
      </c>
    </row>
    <row r="20" spans="1:9">
      <c r="A20" s="11">
        <v>12</v>
      </c>
      <c r="B20" s="10" t="s">
        <v>206</v>
      </c>
      <c r="C20" s="108" t="s">
        <v>222</v>
      </c>
      <c r="D20" s="34" t="s">
        <v>223</v>
      </c>
      <c r="E20" s="30">
        <v>6013</v>
      </c>
      <c r="F20" s="31">
        <v>1524</v>
      </c>
      <c r="G20" s="33" t="s">
        <v>224</v>
      </c>
      <c r="H20" s="32">
        <v>45810</v>
      </c>
      <c r="I20">
        <v>1</v>
      </c>
    </row>
    <row r="21" spans="1:9">
      <c r="A21" s="11">
        <v>13</v>
      </c>
      <c r="B21" s="10" t="s">
        <v>206</v>
      </c>
      <c r="C21" s="108" t="s">
        <v>225</v>
      </c>
      <c r="D21" s="34" t="s">
        <v>223</v>
      </c>
      <c r="E21" s="30">
        <v>6013</v>
      </c>
      <c r="F21" s="31">
        <v>1524</v>
      </c>
      <c r="G21" s="33" t="s">
        <v>224</v>
      </c>
      <c r="H21" s="32">
        <v>45810</v>
      </c>
      <c r="I21">
        <v>1</v>
      </c>
    </row>
    <row r="22" spans="1:9">
      <c r="A22" s="11">
        <v>14</v>
      </c>
      <c r="B22" s="10" t="s">
        <v>206</v>
      </c>
      <c r="C22" s="108" t="s">
        <v>226</v>
      </c>
      <c r="D22" s="34" t="s">
        <v>223</v>
      </c>
      <c r="E22" s="30">
        <v>6013</v>
      </c>
      <c r="F22" s="31">
        <v>1524</v>
      </c>
      <c r="G22" s="33" t="s">
        <v>224</v>
      </c>
      <c r="H22" s="32">
        <v>45810</v>
      </c>
      <c r="I22">
        <v>1</v>
      </c>
    </row>
    <row r="23" spans="1:9">
      <c r="A23" s="11">
        <v>15</v>
      </c>
      <c r="B23" s="45" t="s">
        <v>214</v>
      </c>
      <c r="C23" s="46" t="s">
        <v>227</v>
      </c>
      <c r="D23" s="47" t="s">
        <v>223</v>
      </c>
      <c r="E23" s="48">
        <v>6013</v>
      </c>
      <c r="F23" s="49">
        <v>1524</v>
      </c>
      <c r="G23" s="50">
        <v>45785</v>
      </c>
      <c r="H23" s="32">
        <v>45813</v>
      </c>
      <c r="I23">
        <v>1</v>
      </c>
    </row>
    <row r="24" spans="1:9">
      <c r="A24" s="11">
        <v>16</v>
      </c>
      <c r="B24" s="42" t="s">
        <v>5</v>
      </c>
      <c r="C24" s="41" t="s">
        <v>228</v>
      </c>
      <c r="D24" s="57" t="s">
        <v>229</v>
      </c>
      <c r="E24" s="48">
        <v>6013</v>
      </c>
      <c r="F24" s="49">
        <v>1524</v>
      </c>
      <c r="G24" s="32">
        <v>45819</v>
      </c>
      <c r="H24" s="32" t="s">
        <v>230</v>
      </c>
      <c r="I24">
        <v>1</v>
      </c>
    </row>
    <row r="25" spans="1:9">
      <c r="A25" s="11">
        <v>17</v>
      </c>
      <c r="B25" s="45" t="s">
        <v>8</v>
      </c>
      <c r="C25" s="52" t="s">
        <v>231</v>
      </c>
      <c r="D25" s="59" t="s">
        <v>232</v>
      </c>
      <c r="E25" s="48">
        <v>6013</v>
      </c>
      <c r="F25" s="49">
        <v>1524</v>
      </c>
      <c r="G25" s="58">
        <v>45835</v>
      </c>
      <c r="H25" s="58">
        <v>45912</v>
      </c>
      <c r="I25">
        <v>1</v>
      </c>
    </row>
    <row r="26" spans="1:9">
      <c r="A26" s="11">
        <v>18</v>
      </c>
      <c r="B26" s="28" t="s">
        <v>233</v>
      </c>
      <c r="C26" s="29" t="s">
        <v>234</v>
      </c>
      <c r="D26" s="57" t="s">
        <v>235</v>
      </c>
      <c r="E26" s="30">
        <v>6013</v>
      </c>
      <c r="F26" s="31">
        <v>1524</v>
      </c>
      <c r="G26" s="32">
        <v>45838</v>
      </c>
      <c r="H26" s="32">
        <v>45847</v>
      </c>
      <c r="I26">
        <v>1</v>
      </c>
    </row>
    <row r="27" spans="1:9">
      <c r="B27" s="12"/>
      <c r="C27" s="11"/>
      <c r="D27" s="204"/>
      <c r="E27" s="13"/>
      <c r="F27" s="14"/>
      <c r="G27" s="20"/>
      <c r="H27" s="20"/>
      <c r="I27">
        <f>SUM(I9:I26)</f>
        <v>18</v>
      </c>
    </row>
    <row r="28" spans="1:9">
      <c r="B28" s="202" t="s">
        <v>236</v>
      </c>
      <c r="C28" s="202"/>
      <c r="D28" s="202"/>
      <c r="E28" s="202"/>
      <c r="F28" s="202"/>
      <c r="G28" s="18"/>
      <c r="H28" s="18"/>
    </row>
    <row r="29" spans="1:9" ht="17.25">
      <c r="B29" s="198" t="s">
        <v>237</v>
      </c>
      <c r="C29" s="198"/>
      <c r="D29" s="198"/>
      <c r="E29" s="198"/>
      <c r="F29" s="9">
        <f>SUM(F9:F26)</f>
        <v>27432</v>
      </c>
      <c r="G29" s="21"/>
      <c r="H29" s="21"/>
    </row>
    <row r="30" spans="1:9">
      <c r="B30" s="15"/>
      <c r="C30" s="15"/>
      <c r="D30" s="15"/>
      <c r="E30" s="16" t="s">
        <v>31</v>
      </c>
      <c r="F30" s="17">
        <v>3048</v>
      </c>
      <c r="G30" s="22"/>
      <c r="H30" s="22"/>
    </row>
    <row r="31" spans="1:9" ht="6" customHeight="1"/>
    <row r="32" spans="1:9">
      <c r="B32" s="199" t="s">
        <v>238</v>
      </c>
      <c r="C32" s="199"/>
      <c r="D32" s="199"/>
      <c r="E32" s="199"/>
      <c r="F32" s="199"/>
      <c r="G32" s="23"/>
      <c r="H32" s="23"/>
    </row>
    <row r="33" spans="2:8" ht="3.75" customHeight="1"/>
    <row r="34" spans="2:8" ht="30">
      <c r="B34" s="1" t="s">
        <v>0</v>
      </c>
      <c r="C34" s="2" t="s">
        <v>1</v>
      </c>
      <c r="D34" s="3" t="s">
        <v>2</v>
      </c>
      <c r="E34" s="4" t="s">
        <v>3</v>
      </c>
      <c r="F34" s="5" t="s">
        <v>4</v>
      </c>
      <c r="G34" s="15"/>
      <c r="H34" s="15"/>
    </row>
    <row r="35" spans="2:8">
      <c r="B35" s="42" t="s">
        <v>5</v>
      </c>
      <c r="C35" s="41" t="s">
        <v>6</v>
      </c>
      <c r="D35" s="35" t="s">
        <v>7</v>
      </c>
      <c r="E35" s="43">
        <v>6013</v>
      </c>
      <c r="F35" s="44">
        <v>1524</v>
      </c>
      <c r="G35" s="15"/>
      <c r="H35" s="15"/>
    </row>
    <row r="36" spans="2:8" ht="45">
      <c r="B36" s="28" t="s">
        <v>8</v>
      </c>
      <c r="C36" s="29" t="s">
        <v>9</v>
      </c>
      <c r="D36" s="203" t="s">
        <v>10</v>
      </c>
      <c r="E36" s="48">
        <v>6013</v>
      </c>
      <c r="F36" s="56">
        <v>1524</v>
      </c>
      <c r="G36" s="20"/>
      <c r="H36" s="20"/>
    </row>
    <row r="37" spans="2:8" ht="17.25">
      <c r="E37" s="16" t="s">
        <v>155</v>
      </c>
      <c r="F37" s="55">
        <f>SUM(F35:F36)</f>
        <v>3048</v>
      </c>
      <c r="G37" s="8"/>
      <c r="H37" s="8"/>
    </row>
    <row r="38" spans="2:8">
      <c r="D38" s="25">
        <f ca="1">NOW()</f>
        <v>46239.396506249999</v>
      </c>
      <c r="E38" t="s">
        <v>239</v>
      </c>
    </row>
  </sheetData>
  <mergeCells count="8">
    <mergeCell ref="B1:F1"/>
    <mergeCell ref="B6:F6"/>
    <mergeCell ref="B28:F28"/>
    <mergeCell ref="B32:F32"/>
    <mergeCell ref="B29:E29"/>
    <mergeCell ref="B4:F4"/>
    <mergeCell ref="B3:F3"/>
    <mergeCell ref="B2:F2"/>
  </mergeCells>
  <pageMargins left="0.7" right="0.7" top="0.75" bottom="0.75" header="0.3" footer="0.3"/>
  <pageSetup scale="7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E447E-0050-4640-B301-56150AD17678}">
  <sheetPr>
    <pageSetUpPr fitToPage="1"/>
  </sheetPr>
  <dimension ref="A1:G10"/>
  <sheetViews>
    <sheetView workbookViewId="0">
      <selection activeCell="D25" sqref="D25"/>
    </sheetView>
  </sheetViews>
  <sheetFormatPr defaultRowHeight="15"/>
  <cols>
    <col min="1" max="1" width="30" bestFit="1" customWidth="1"/>
    <col min="2" max="2" width="10.140625" bestFit="1" customWidth="1"/>
    <col min="3" max="3" width="60.7109375" bestFit="1" customWidth="1"/>
    <col min="4" max="4" width="14.42578125" bestFit="1" customWidth="1"/>
    <col min="5" max="5" width="14.5703125" bestFit="1" customWidth="1"/>
    <col min="6" max="6" width="14.28515625" bestFit="1" customWidth="1"/>
    <col min="7" max="7" width="14" bestFit="1" customWidth="1"/>
  </cols>
  <sheetData>
    <row r="1" spans="1:7" ht="15.75" customHeight="1">
      <c r="A1" s="200" t="s">
        <v>11</v>
      </c>
      <c r="B1" s="200"/>
      <c r="C1" s="200"/>
      <c r="D1" s="200"/>
      <c r="E1" s="200"/>
      <c r="F1" s="18"/>
      <c r="G1" s="18"/>
    </row>
    <row r="2" spans="1:7" ht="15.75" customHeight="1">
      <c r="A2" s="200" t="s">
        <v>13</v>
      </c>
      <c r="B2" s="200"/>
      <c r="C2" s="200"/>
      <c r="D2" s="200"/>
      <c r="E2" s="200"/>
      <c r="F2" s="18"/>
      <c r="G2" s="18"/>
    </row>
    <row r="3" spans="1:7" ht="15.75" customHeight="1">
      <c r="A3" s="201" t="s">
        <v>15</v>
      </c>
      <c r="B3" s="201"/>
      <c r="C3" s="201"/>
      <c r="D3" s="201"/>
      <c r="E3" s="201"/>
      <c r="F3" s="11"/>
      <c r="G3" s="11"/>
    </row>
    <row r="4" spans="1:7">
      <c r="A4" s="201" t="s">
        <v>17</v>
      </c>
      <c r="B4" s="201"/>
      <c r="C4" s="201"/>
      <c r="D4" s="201"/>
      <c r="E4" s="201"/>
      <c r="F4" s="11"/>
      <c r="G4" s="11"/>
    </row>
    <row r="5" spans="1:7" ht="6.75" customHeight="1"/>
    <row r="6" spans="1:7" ht="15.75" customHeight="1">
      <c r="A6" s="202" t="s">
        <v>195</v>
      </c>
      <c r="B6" s="202"/>
      <c r="C6" s="202"/>
      <c r="D6" s="202"/>
      <c r="E6" s="202"/>
      <c r="F6" s="19"/>
      <c r="G6" s="19"/>
    </row>
    <row r="7" spans="1:7" ht="6" customHeight="1"/>
    <row r="8" spans="1:7" ht="30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5" t="s">
        <v>20</v>
      </c>
      <c r="G8" s="5" t="s">
        <v>21</v>
      </c>
    </row>
    <row r="9" spans="1:7">
      <c r="A9" s="10" t="s">
        <v>196</v>
      </c>
      <c r="B9" s="6" t="s">
        <v>197</v>
      </c>
      <c r="C9" s="26" t="s">
        <v>240</v>
      </c>
      <c r="D9" s="27">
        <v>6013</v>
      </c>
      <c r="E9" s="7">
        <v>1524</v>
      </c>
      <c r="F9" s="24" t="s">
        <v>199</v>
      </c>
      <c r="G9" s="7" t="s">
        <v>200</v>
      </c>
    </row>
    <row r="10" spans="1:7">
      <c r="A10" s="10" t="s">
        <v>5</v>
      </c>
      <c r="B10" s="6" t="s">
        <v>201</v>
      </c>
      <c r="C10" s="26" t="s">
        <v>241</v>
      </c>
      <c r="D10" s="27">
        <v>6013</v>
      </c>
      <c r="E10" s="7">
        <v>1524</v>
      </c>
      <c r="F10" s="24">
        <v>45454</v>
      </c>
      <c r="G10" s="24">
        <v>45559</v>
      </c>
    </row>
  </sheetData>
  <mergeCells count="5">
    <mergeCell ref="A1:E1"/>
    <mergeCell ref="A2:E2"/>
    <mergeCell ref="A3:E3"/>
    <mergeCell ref="A4:E4"/>
    <mergeCell ref="A6:E6"/>
  </mergeCells>
  <pageMargins left="0.7" right="0.7" top="0.75" bottom="0.75" header="0.3" footer="0.3"/>
  <pageSetup scale="7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3B44CB1F7BB343BE9501C2EADE3E40" ma:contentTypeVersion="14" ma:contentTypeDescription="Create a new document." ma:contentTypeScope="" ma:versionID="a84be14a1b8791712eb83e6408f68031">
  <xsd:schema xmlns:xsd="http://www.w3.org/2001/XMLSchema" xmlns:xs="http://www.w3.org/2001/XMLSchema" xmlns:p="http://schemas.microsoft.com/office/2006/metadata/properties" xmlns:ns3="2215d8bf-9311-42d7-a84b-35593b153e57" xmlns:ns4="a8586375-22bd-460e-989a-8f1e6572c476" targetNamespace="http://schemas.microsoft.com/office/2006/metadata/properties" ma:root="true" ma:fieldsID="0282bdf0088b72d4fd1638ab1abbf657" ns3:_="" ns4:_="">
    <xsd:import namespace="2215d8bf-9311-42d7-a84b-35593b153e57"/>
    <xsd:import namespace="a8586375-22bd-460e-989a-8f1e6572c4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5d8bf-9311-42d7-a84b-35593b153e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86375-22bd-460e-989a-8f1e6572c47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15d8bf-9311-42d7-a84b-35593b153e57" xsi:nil="true"/>
  </documentManagement>
</p:properties>
</file>

<file path=customXml/itemProps1.xml><?xml version="1.0" encoding="utf-8"?>
<ds:datastoreItem xmlns:ds="http://schemas.openxmlformats.org/officeDocument/2006/customXml" ds:itemID="{6BC6749A-572A-406B-BC0E-F26A9605CC09}"/>
</file>

<file path=customXml/itemProps2.xml><?xml version="1.0" encoding="utf-8"?>
<ds:datastoreItem xmlns:ds="http://schemas.openxmlformats.org/officeDocument/2006/customXml" ds:itemID="{B1DBD068-B5AC-4D4F-B330-011BFB85E666}"/>
</file>

<file path=customXml/itemProps3.xml><?xml version="1.0" encoding="utf-8"?>
<ds:datastoreItem xmlns:ds="http://schemas.openxmlformats.org/officeDocument/2006/customXml" ds:itemID="{9C960435-66D8-4BF3-B301-BE9AED9665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HEIDY A. SEDA ARCELAY</dc:creator>
  <cp:keywords/>
  <dc:description/>
  <cp:lastModifiedBy/>
  <cp:revision/>
  <dcterms:created xsi:type="dcterms:W3CDTF">2025-01-24T17:06:34Z</dcterms:created>
  <dcterms:modified xsi:type="dcterms:W3CDTF">2026-08-05T13:32:51Z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0x0101009F3B44CB1F7BB343BE9501C2EADE3E40</vt:lpwstr>
  </property>
</Properties>
</file>